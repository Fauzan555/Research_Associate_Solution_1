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44c0c6347725b90/Desktop/IIM/"/>
    </mc:Choice>
  </mc:AlternateContent>
  <xr:revisionPtr revIDLastSave="0" documentId="8_{C1DC444F-6169-47BB-A75F-1FD71E6FED90}" xr6:coauthVersionLast="47" xr6:coauthVersionMax="47" xr10:uidLastSave="{00000000-0000-0000-0000-000000000000}"/>
  <bookViews>
    <workbookView xWindow="-108" yWindow="-108" windowWidth="23256" windowHeight="12456" xr2:uid="{00000000-000D-0000-FFFF-FFFF00000000}"/>
  </bookViews>
  <sheets>
    <sheet name="1_Executive_Brief_&amp;_Method" sheetId="1" r:id="rId1"/>
    <sheet name="2_M1_Scale_&amp;_Throughput" sheetId="2" r:id="rId2"/>
    <sheet name="3_M2_Valuation_&amp;_Impact" sheetId="3" r:id="rId3"/>
    <sheet name="4_Master_Comparison_27_Hubs" sheetId="4" r:id="rId4"/>
  </sheets>
  <definedNames>
    <definedName name="_xlnm._FilterDatabase" localSheetId="1" hidden="1">'2_M1_Scale_&amp;_Throughput'!$A$4:$K$24</definedName>
    <definedName name="_xlnm._FilterDatabase" localSheetId="2" hidden="1">'3_M2_Valuation_&amp;_Impact'!$A$4:$K$24</definedName>
    <definedName name="_xlnm._FilterDatabase" localSheetId="3" hidden="1">'4_Master_Comparison_27_Hubs'!$A$4:$J$31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G25" i="3"/>
  <c r="F25" i="3"/>
  <c r="G25" i="2"/>
  <c r="F25" i="2"/>
</calcChain>
</file>

<file path=xl/sharedStrings.xml><?xml version="1.0" encoding="utf-8"?>
<sst xmlns="http://schemas.openxmlformats.org/spreadsheetml/2006/main" count="451" uniqueCount="250">
  <si>
    <t>INDIA'S TOP 20 STARTUP INCUBATORS — DUAL-METHODOLOGY ASSESSMENT</t>
  </si>
  <si>
    <t>Assignment Deliverable: Search Methodology, Ranking Justification, &amp; Key Analytical Findings</t>
  </si>
  <si>
    <t>1,100+ Hubs</t>
  </si>
  <si>
    <t>27 Unique Incubators</t>
  </si>
  <si>
    <t>13 'All-Rounder' Hubs</t>
  </si>
  <si>
    <t>21,850+ Startups</t>
  </si>
  <si>
    <t>₹3.20+ Lakh Cr</t>
  </si>
  <si>
    <t>6 Core Cities</t>
  </si>
  <si>
    <t>Initial Universe Screened (DST, DPIIT, BIRAC, AIM)</t>
  </si>
  <si>
    <t>Represented Across Both Top-20 Rankings</t>
  </si>
  <si>
    <t>Ranked in the Top 20 Under Both Methodologies</t>
  </si>
  <si>
    <t>Cumulative Ventures Incubated (M1 Top 20)</t>
  </si>
  <si>
    <t>Cumulative Portfolio Valuation (M2 Top 20)</t>
  </si>
  <si>
    <t>Bengaluru, Hyderabad, Mumbai-Pune, Ahmedabad, Chennai, NCR</t>
  </si>
  <si>
    <t>1. SEARCH METHODOLOGY &amp; DATA VERIFICATION</t>
  </si>
  <si>
    <t>How I Researched and Shortlisted the Incubators:
To build a clean, reliable list of India's top 20 startup incubators, I started by pulling the official incubator directories from the four main government bodies that fund and track them: DST (NIDHI-TBI and STEP lists), Startup India (DPIIT’s Seed Fund Scheme portal), BIRAC (for biotech hubs), and MeitY/NITI Aayog (Atal Incubation Centres). Because these public lists contain over 1,100 registered centers of varying quality, I set a few clear ground rules to keep the comparison fair. I filtered out pure Venture Capital funds, foreign accelerators like Y Combinator, and commercial co-working spaces like WeWork. I also avoided lumping entire government umbrella schemes together, looking instead at individual operating incubators. Once I had a shortlist of major hubs, I cross-checked the numbers from their latest annual impact reports against startup databases like Tracxn, Inc42, and the Hurun Unicorn Index to verify how many startups they have actually incubated, how much lab or campus space they run, and how much funding their alumni have raised.</t>
  </si>
  <si>
    <t>2. JUSTIFICATION FOR USING TWO COMPLEMENTARY METHODOLOGIES</t>
  </si>
  <si>
    <t>Why I Used Two Different Methodologies:
While going through the data, it became obvious that defining the 'largest' incubator in a single way gives a skewed picture. If you rank incubators purely by the total number of startups they support, state government agencies and university student hubs easily top the list because they take in hundreds of early-stage ideas every year. However, that approach unfairly penalizes deep-tech, hardware, and biotech incubators (like IIT Bombay’s SINE or Bengaluru’s C-CAMP), which intentionally take on fewer startups because each company needs years of heavy lab work and specialized equipment. On the flip side, if you rank only by portfolio valuation, a single massive unicorn like Razorpay or Ather Energy can carry an entire incubator to the top. To give a balanced view, I split the ranking into two lenses:
  • Methodology 1 (Scale &amp; Capacity): Ranks incubators by cumulative startups supported (70% weight) and physical campus/lab size in sq. ft. (30% weight).
  • Methodology 2 (Financial Impact): Ranks incubators by estimated portfolio valuation of graduated startups (60% weight) and external follow-on funding raised (40% weight), using unicorns and IPOs as tie-breakers.</t>
  </si>
  <si>
    <t>3. RANKING JUSTIFICATION — HOW I ARRIVED AT THE TOP 20 IN EACH LIST</t>
  </si>
  <si>
    <t>Methodology 1: Ranking by Volume &amp; Physical Scale (See Tab 2):
In the first list, state-backed ecosystems and industry bodies naturally lead the table. Kerala Startup Mission (#1 with 6,000+ startups), NASSCOM 10,000 Startups (#2 with 3,500+ startups), and Hyderabad’s T-Hub (#3 with 2,000+ startups and a massive 5.82 lakh sq. ft. facility) take the top three spots because they are built for mass scale. Spots #4 to #10 go to high-volume academic and state centers like IIM Bangalore’s NSRCEL (1,500+ startups), IKP Knowledge Park (1,400+ startups across a 200-acre park), IIMA Ventures (1,000+ startups), i-Hub Gujarat (840+), Venture Center Pune (700+), GUSEC (600+), and WE Hub (550+). The second half of the top 20 (#11 to #20) is made up of India’s premier IIT and research incubators—including FITT (IIT Delhi), SIIC (IIT Kanpur), KIIT-TBI, C-CAMP, IIT Madras Incubation Cell, Villgro, Amity, AIC-Banasthali, IIT Mandi Catalyst, and SINE (IIT Bombay)—which pair steady cohort numbers (250 to 500+ startups) with some of the largest R&amp;D lab facilities in the country.
Methodology 2: Ranking by Portfolio Valuation &amp; Funding Raised (See Tab 3):
Re-ranking the incubators based on market outcomes completely reshuffles the leaderboard in favor of top B-schools and IITs. IIMA Ventures (#1 at ₹45,000+ Cr), IIT Madras Incubation Cell (#2 at ₹40,000+ Cr, backed by Ather Energy and Uniphore), NSRCEL at IIM Bangalore (#3 at ₹38,000+ Cr, backed by Razorpay), T-Hub (#4 at ₹32,000+ Cr, with Darwinbox and Zenoti), and SINE at IIT Bombay (#5 at ₹25,000+ Cr, with Gupshup and IdeaForge) take the top five spots. This approach also brings seven high-performing incubators into the Top 20 that missed the first list simply because they run smaller, tighter batches—including private seed-stage hubs like Venture Catalysts (#6) and Axilor Ventures (#9), as well as specialized science and tech centers like Social Alpha (#13), CIE at IIIT Hyderabad (#15), Zone Startups (#17), FSID at IISc Bengaluru (#19), and IIM Calcutta Innovation Park (#20).</t>
  </si>
  <si>
    <t>4. KEY TAKEAWAYS &amp; DATASET OVERVIEW</t>
  </si>
  <si>
    <t>Key Takeaway from Comparing Both Lists (See Tab 4 for Full Comparison):
When you put both tables side by side, 13 incubators show up in the Top 20 on both lists—T-Hub, NSRCEL, IIMA Ventures, NASSCOM, IIT Madras, SINE (IITB), FITT (IITD), SIIC (IITK), IKP, C-CAMP, Venture Center, KSUM, and Villgro. These 13 are the real heavyweights of the Indian startup ecosystem because they deliver both high volume and strong financial outcomes. The comparison also shows an interesting trade-off: deep-tech hubs like SINE (IIT Bombay) and IIT Madras sit at #20 and #15 when measured by headcount, but jump to #5 and #2 when measured by valuation. Because they focus on complex engineering and IP, they graduate fewer companies, but those companies are much more likely to raise large VC rounds or go public. Meanwhile, state youth hubs like i-Hub Gujarat (#7 in M1) and GUSEC (#9 in M1) do a great job helping student founders get started, even if fewer of their startups have reached massive valuations yet.
Quick Summary of Operating Models:
Across all 27 unique incubators, academic and research-backed hubs make up the majority (12 out of 20 on both lists). They usually take a small equity stake (0% to 5%) and help founders access government grants between ₹10 Lakh and ₹1 Crore (like Startup India Seed Fund, NIDHI-PRAYAS, or BIRAC BIG). In contrast, state-run hubs like KSUM, T-Hub, and WE Hub generally take zero equity and focus on subsidized workspace and mentorship to boost local entrepreneurship, while private programs like Venture Catalysts and Axilor act more like early-stage micro-VCs that invest directly for equity.</t>
  </si>
  <si>
    <t>METHODOLOGY 1: TOP 20 INCUBATORS BY SCALE &amp; THROUGHPUT</t>
  </si>
  <si>
    <t>Ranked by Cumulative Startups Incubated (70% Weight) &amp; Physical Infrastructure / Lab Space in Sq. Ft. (30% Weight)</t>
  </si>
  <si>
    <t>Rank (M1)</t>
  </si>
  <si>
    <t>Incubator Name</t>
  </si>
  <si>
    <t>Est. Year</t>
  </si>
  <si>
    <t>Headquarters / Location</t>
  </si>
  <si>
    <t>Institutional Type</t>
  </si>
  <si>
    <t>Startups Incubated</t>
  </si>
  <si>
    <t>Campus / Lab Space (Sq. Ft.)</t>
  </si>
  <si>
    <t>Core Sector Focus</t>
  </si>
  <si>
    <t>Funding &amp; Equity Model</t>
  </si>
  <si>
    <t>Notable Graduated Startups</t>
  </si>
  <si>
    <t>Official Website</t>
  </si>
  <si>
    <t>Kerala Startup Mission (KSUM)</t>
  </si>
  <si>
    <t>Kochi / Trivandrum, Kerala</t>
  </si>
  <si>
    <t>Public / State Govt</t>
  </si>
  <si>
    <t>Hardware, IoT, SaaS, FinTech, Biotech</t>
  </si>
  <si>
    <t>Equity-free grants up to ₹15L, seed loans, global market access</t>
  </si>
  <si>
    <t>Open Financial, Genrobotics, CareStack</t>
  </si>
  <si>
    <t>https://startupmission.kerala.gov.in</t>
  </si>
  <si>
    <t>NASSCOM 10,000 Startups</t>
  </si>
  <si>
    <t>Bengaluru / Pan-India (10+ hubs)</t>
  </si>
  <si>
    <t>Industry Association</t>
  </si>
  <si>
    <t>B2B SaaS, DeepTech, AI, Enterprise IT</t>
  </si>
  <si>
    <t>Virtual &amp; physical incubation, corporate market access, cloud credits</t>
  </si>
  <si>
    <t>Rapido, Capillary Technologies, Instamojo</t>
  </si>
  <si>
    <t>https://10000startups.com</t>
  </si>
  <si>
    <t>T-Hub (Technology Hub)</t>
  </si>
  <si>
    <t>Hyderabad, Telangana</t>
  </si>
  <si>
    <t>Public-Private Partnership (PPP)</t>
  </si>
  <si>
    <t>DeepTech, FinTech, HealthTech, AI/ML, IoT</t>
  </si>
  <si>
    <t>T-Fund (up to ₹1 Cr), corporate innovation programs, lab access</t>
  </si>
  <si>
    <t>Darwinbox, Skyroot Aerospace, Zenoti</t>
  </si>
  <si>
    <t>https://t-hub.co</t>
  </si>
  <si>
    <t>NSRCEL, IIM Bangalore</t>
  </si>
  <si>
    <t>Bengaluru, Karnataka</t>
  </si>
  <si>
    <t>Academic (IIM Bangalore)</t>
  </si>
  <si>
    <t>Social Enterprise, AgriTech, Mobility, Women Founders, SaaS</t>
  </si>
  <si>
    <t>0–2% equity, SISFS grants up to ₹50L, IIMB faculty mentorship</t>
  </si>
  <si>
    <t>Razorpay, Stellapps, Bounce, Wonderla</t>
  </si>
  <si>
    <t>https://nsrcel.org</t>
  </si>
  <si>
    <t>IKP Knowledge Park</t>
  </si>
  <si>
    <t>Hyderabad &amp; Bengaluru</t>
  </si>
  <si>
    <t>Non-Profit Science Park / PPP</t>
  </si>
  <si>
    <t>Life Sciences, Biotech, MedTech, Hardware, CleanTech</t>
  </si>
  <si>
    <t>BIRAC/DST grants (₹10L–₹50L), wet labs, prototyping facilities</t>
  </si>
  <si>
    <t>Laurus Labs, ReaMetrix, Bugworks</t>
  </si>
  <si>
    <t>https://ikpknowledgepark.com</t>
  </si>
  <si>
    <t>IIMA Ventures (formerly CIIE.CO)</t>
  </si>
  <si>
    <t>Ahmedabad, Gujarat</t>
  </si>
  <si>
    <t>Academic (IIM Ahmedabad)</t>
  </si>
  <si>
    <t>FinTech, CleanTech, AgriTech, DeepTech, Bharat Inclusion</t>
  </si>
  <si>
    <t>Seed investments (₹25L–₹2Cr), Bharat Fund, accelerator cohorts</t>
  </si>
  <si>
    <t>Agnikul Cosmos, Pixxel, Detect Tech, Razorpay</t>
  </si>
  <si>
    <t>https://iimaventures.com</t>
  </si>
  <si>
    <t>i-Hub Gujarat</t>
  </si>
  <si>
    <t>Sector-Agnostic, EdTech, Manufacturing, CleanTech, IoT</t>
  </si>
  <si>
    <t>SSIP grants, PoC funding up to ₹10L, IP filing support</t>
  </si>
  <si>
    <t>Unstop, Presear Softwares, Mysa</t>
  </si>
  <si>
    <t>https://ihubgujarat.in</t>
  </si>
  <si>
    <t>Venture Center (CSIR-NCL)</t>
  </si>
  <si>
    <t>Pune, Maharashtra</t>
  </si>
  <si>
    <t>R&amp;D Institute (CSIR-NCL)</t>
  </si>
  <si>
    <t>Biotech, Chemical Tech, Materials, Clean Energy, MedTech</t>
  </si>
  <si>
    <t>NIDHI-PRAYAS, BIRAC BIG grants (up to ₹50L), analytical labs</t>
  </si>
  <si>
    <t>Praj Matrix, Seagull BioSolutions, Module Innovations</t>
  </si>
  <si>
    <t>https://venturecenter.co.in</t>
  </si>
  <si>
    <t>GUSEC (Gujarat University)</t>
  </si>
  <si>
    <t>Academic (Gujarat University)</t>
  </si>
  <si>
    <t>Sector-Agnostic, Social Impact, IT, AgriTech</t>
  </si>
  <si>
    <t>Zero-cost incubation, zero equity, SSIP &amp; NIDHI seed grants</t>
  </si>
  <si>
    <t>Digantara, TorchIt, Speculum</t>
  </si>
  <si>
    <t>https://gusec.edu.in</t>
  </si>
  <si>
    <t>WE Hub (Women Entrepreneurs Hub)</t>
  </si>
  <si>
    <t>Women-led Startups (FMCG, HealthTech, FinTech, Social Impact)</t>
  </si>
  <si>
    <t>Zero equity, SISFS grants, global market access, credit linkage</t>
  </si>
  <si>
    <t>Involve, BluSapphire, Carryage</t>
  </si>
  <si>
    <t>https://wehub.telangana.gov.in</t>
  </si>
  <si>
    <t>FITT, IIT Delhi</t>
  </si>
  <si>
    <t>New Delhi, Delhi</t>
  </si>
  <si>
    <t>Academic (IIT Delhi)</t>
  </si>
  <si>
    <t>DeepTech, AI, MedTech, Defense Tech, Clean Energy</t>
  </si>
  <si>
    <t>NIDHI/SISFS seed funding (up to ₹50L), IP commercialization, IITD labs</t>
  </si>
  <si>
    <t>Botlab Dynamics, Clensta, AgVa Healthcare</t>
  </si>
  <si>
    <t>https://fitt-iitd.in</t>
  </si>
  <si>
    <t>SIIC, IIT Kanpur</t>
  </si>
  <si>
    <t>Kanpur, Uttar Pradesh</t>
  </si>
  <si>
    <t>Academic (IIT Kanpur)</t>
  </si>
  <si>
    <t>Aerospace, Defense, Drones, AgriTech, MedTech, FinTech</t>
  </si>
  <si>
    <t>Equity-linked seed fund (up to ₹1 Cr), BIRAC/MeitY grants, defense testing</t>
  </si>
  <si>
    <t>Phool.co, Noccarc, EndureAir</t>
  </si>
  <si>
    <t>https://siicincubator.com</t>
  </si>
  <si>
    <t>KIIT-TBI</t>
  </si>
  <si>
    <t>Bhubaneswar, Odisha</t>
  </si>
  <si>
    <t>Academic (KIIT University)</t>
  </si>
  <si>
    <t>Biotech, HealthTech, AgriTech, CleanTech, IoT</t>
  </si>
  <si>
    <t>NIDHI-PRAYAS, BIRAC BIG, MeitY TIDE 2.0 grants (₹10L–₹50L)</t>
  </si>
  <si>
    <t>IG Drones, Robinsons, CyCa OncoSolutions</t>
  </si>
  <si>
    <t>https://kiitincubator.in</t>
  </si>
  <si>
    <t>C-CAMP</t>
  </si>
  <si>
    <t>Public R&amp;D Institute (DBT)</t>
  </si>
  <si>
    <t>Deep Life Sciences, Biopharma, AMR, Agri-Biotech, Digital Health</t>
  </si>
  <si>
    <t>BIRAC BIG, C-CAMP equity/grant funding (up to ₹50L+), biosafety labs</t>
  </si>
  <si>
    <t>Bugworks, String Bio, Pandorum Tech, Sea6 Energy</t>
  </si>
  <si>
    <t>https://ccamp.res.in</t>
  </si>
  <si>
    <t>IIT Madras Incubation Cell (IITMIC)</t>
  </si>
  <si>
    <t>Chennai, Tamil Nadu</t>
  </si>
  <si>
    <t>Academic (IIT Madras)</t>
  </si>
  <si>
    <t>DeepTech, SpaceTech, EV, Robotics, Telecom, AI</t>
  </si>
  <si>
    <t>2–5% equity, SISFS/NIDHI grants, access to IITM Research Park centers</t>
  </si>
  <si>
    <t>Ather Energy, Agnikul Cosmos, Uniphore, Stellapps</t>
  </si>
  <si>
    <t>https://incubation.iitm.ac.in</t>
  </si>
  <si>
    <t>Villgro Innovations Foundation</t>
  </si>
  <si>
    <t>Non-Profit Social Incubator</t>
  </si>
  <si>
    <t>Social Impact: Agriculture, Clean Energy, Healthcare, Livelihoods</t>
  </si>
  <si>
    <t>Grant + equity/debt seed funding (₹15L–₹75L), deep field validation</t>
  </si>
  <si>
    <t>Stellapps, AgNext, S4S Technologies, Bempu</t>
  </si>
  <si>
    <t>https://villgro.org</t>
  </si>
  <si>
    <t>Amity Innovation Incubator</t>
  </si>
  <si>
    <t>Noida, Uttar Pradesh</t>
  </si>
  <si>
    <t>Academic (Amity University)</t>
  </si>
  <si>
    <t>IT/SaaS, EdTech, IoT, Renewable Energy, AgriTech</t>
  </si>
  <si>
    <t>MeitY/DST seed funding up to ₹25L, virtual &amp; physical incubation</t>
  </si>
  <si>
    <t>Innov8, TapChief, ApnaComplex</t>
  </si>
  <si>
    <t>https://amity.edu/incubator</t>
  </si>
  <si>
    <t>AIC-Banasthali / Top AIM Nodes</t>
  </si>
  <si>
    <t>Jaipur / Pan-India</t>
  </si>
  <si>
    <t>Academic / AIM NITI Aayog</t>
  </si>
  <si>
    <t>Women Entrepreneurship, AgriTech, Rural Impact, EdTech</t>
  </si>
  <si>
    <t>SISFS grants, AIM seed support, prototyping labs</t>
  </si>
  <si>
    <t>Farms2Fork, Krishi Network, EcoKargha</t>
  </si>
  <si>
    <t>https://aim.gov.in</t>
  </si>
  <si>
    <t>IIT Mandi Catalyst</t>
  </si>
  <si>
    <t>Mandi, Himachal Pradesh</t>
  </si>
  <si>
    <t>Academic (IIT Mandi)</t>
  </si>
  <si>
    <t>Clean Energy, Hill/Rural Tech, AgriTech, Healthcare, AI</t>
  </si>
  <si>
    <t>Exploration grants (₹1.5L) to commercialization seed funds (up to ₹50L)</t>
  </si>
  <si>
    <t>GreenTrek, Genetico, HempStreet</t>
  </si>
  <si>
    <t>https://iitmandicatalyst.in</t>
  </si>
  <si>
    <t>SINE, IIT Bombay</t>
  </si>
  <si>
    <t>Mumbai, Maharashtra</t>
  </si>
  <si>
    <t>Academic (IIT Bombay)</t>
  </si>
  <si>
    <t>DeepTech, Enterprise Tech, Defense, FinTech, CleanTech</t>
  </si>
  <si>
    <t>3–6% equity, NIDHI/DST seed support (up to ₹1 Cr), IITB prototyping labs</t>
  </si>
  <si>
    <t>IdeaForge, Gupshup, Safe Security, ImmunoACT</t>
  </si>
  <si>
    <t>https://sineiitb.org</t>
  </si>
  <si>
    <t>TOTAL / AVERAGE (TOP 20 SCALE HUBS)</t>
  </si>
  <si>
    <t>METHODOLOGY 2: TOP 20 INCUBATORS BY PORTFOLIO VALUATION &amp; CAPITAL MOBILIZED</t>
  </si>
  <si>
    <t>Ranked by Est. Cumulative Alumni Valuation (60% Weight) &amp; Follow-on Capital Mobilized (40% Weight)</t>
  </si>
  <si>
    <t>Rank (M2)</t>
  </si>
  <si>
    <t>Est. Portfolio Valuation (₹ Cr)</t>
  </si>
  <si>
    <t>Follow-on Capital Raised (₹ Cr)</t>
  </si>
  <si>
    <t>Key Unicorns / Soonicorns / IPOs</t>
  </si>
  <si>
    <t>Academic / Venture Fund</t>
  </si>
  <si>
    <t>FinTech, DeepTech, ClimateTech, AgriTech</t>
  </si>
  <si>
    <t>Razorpay (Alumnus), Pixxel, Agnikul Cosmos, Detect Tech</t>
  </si>
  <si>
    <t>DeepTech, EV, SpaceTech, AI, Robotics</t>
  </si>
  <si>
    <t>Ather Energy (Unicorn/IPO), Uniphore (Unicorn), Agnikul Cosmos</t>
  </si>
  <si>
    <t>FinTech, SaaS, Mobility, AgriTech, Social Impact</t>
  </si>
  <si>
    <t>Razorpay (Unicorn), Bounce, Stellapps</t>
  </si>
  <si>
    <t>Enterprise SaaS, SpaceTech, FinTech, HealthTech</t>
  </si>
  <si>
    <t>Darwinbox (Unicorn), Zenoti (Unicorn), Skyroot Aerospace</t>
  </si>
  <si>
    <t>Drones/Defense, Enterprise SaaS, CyberSecurity, Biotech</t>
  </si>
  <si>
    <t>Gupshup (Unicorn), IdeaForge (IPO), Safe Security, Atomberg</t>
  </si>
  <si>
    <t>Venture Catalysts (VCats) / 100Unicorns</t>
  </si>
  <si>
    <t>Private Seed Incubator &amp; Accelerator</t>
  </si>
  <si>
    <t>D2C, FinTech, Consumer Tech, HealthTech</t>
  </si>
  <si>
    <t>BharatPe (Unicorn), Beardo (Exited), Renee Cosmetics, Country Delight</t>
  </si>
  <si>
    <t>https://venturecatalysts.in</t>
  </si>
  <si>
    <t>Bengaluru / Pan-India</t>
  </si>
  <si>
    <t>B2B SaaS, Mobility, AI, Enterprise Tech</t>
  </si>
  <si>
    <t>Rapido (Unicorn), Capillary Technologies, Whatfix</t>
  </si>
  <si>
    <t>DeepTech, Drone Tech, MedTech, CleanTech</t>
  </si>
  <si>
    <t>Botlab Dynamics, Clensta, Zumutor Biologics</t>
  </si>
  <si>
    <t>Axilor Ventures</t>
  </si>
  <si>
    <t>Enterprise SaaS, FinTech, HealthTech, B2B Commerce</t>
  </si>
  <si>
    <t>Qure.ai, Progcap, Teachmint, Detect Technologies</t>
  </si>
  <si>
    <t>https://axilor.com</t>
  </si>
  <si>
    <t>Biotech, Synthetic Biology, Drug Discovery, MedTech</t>
  </si>
  <si>
    <t>Bugworks, String Bio, Pandorum Technologies, Eyestem</t>
  </si>
  <si>
    <t>Pharma, Biotech, MedTech, Hardware</t>
  </si>
  <si>
    <t>Laurus Labs (IPO Alumnus), Bugworks, CareNX</t>
  </si>
  <si>
    <t>CleanTech, MedTech, Defense/Aerospace, AgriTech</t>
  </si>
  <si>
    <t>Phool.co, Noccarc, Offgrid Energy Labs</t>
  </si>
  <si>
    <t>Social Alpha (supported by Tata Trusts)</t>
  </si>
  <si>
    <t>Non-Profit DeepTech/Impact Incubator</t>
  </si>
  <si>
    <t>ClimateTech, Assistive Tech, HealthTech, Livelihoods</t>
  </si>
  <si>
    <t>Niramai, S4S Technologies, Phool.co, Aloe ECell</t>
  </si>
  <si>
    <t>https://socialalpha.org</t>
  </si>
  <si>
    <t>FinTech, SaaS, Robotics, Hardware</t>
  </si>
  <si>
    <t>Open Financial Technologies (Unicorn), CareStack, Genrobotics</t>
  </si>
  <si>
    <t>CIE, IIIT Hyderabad</t>
  </si>
  <si>
    <t>Academic (IIIT Hyderabad)</t>
  </si>
  <si>
    <t>AI/ML, Computer Vision, NLP, DeepTech</t>
  </si>
  <si>
    <t>DreamVu, Staqu, Verloop.io, Banyan Nation</t>
  </si>
  <si>
    <t>https://cie.iiit.ac.in</t>
  </si>
  <si>
    <t>AgriTech, Climate Action, Rural Health</t>
  </si>
  <si>
    <t>Stellapps, S4S Technologies, AgNext</t>
  </si>
  <si>
    <t>Zone Startups India (BIL-Ryerson)</t>
  </si>
  <si>
    <t>PPP / International Joint Venture</t>
  </si>
  <si>
    <t>FinTech, RegTech, Enterprise SaaS, B2B</t>
  </si>
  <si>
    <t>FlexiLoans, Vidooly, ShieldSquare</t>
  </si>
  <si>
    <t>https://india.zonestartups.com</t>
  </si>
  <si>
    <t>Material Science, Biotech, Diagnostics, Clean Energy</t>
  </si>
  <si>
    <t>Module Innovations, OrthoSonics, Actorius</t>
  </si>
  <si>
    <t>FSID / SID, IISc Bengaluru</t>
  </si>
  <si>
    <t>Academic (IISc Bengaluru)</t>
  </si>
  <si>
    <t>Deep Science, SpaceTech, Quantum, MedTech, AI</t>
  </si>
  <si>
    <t>Bellatrix Aerospace, Astrome, Strand Life Sciences</t>
  </si>
  <si>
    <t>https://sid.iisc.ac.in</t>
  </si>
  <si>
    <t>IIM Calcutta Innovation Park (IIMCIP)</t>
  </si>
  <si>
    <t>Kolkata, West Bengal</t>
  </si>
  <si>
    <t>Academic (IIM Calcutta)</t>
  </si>
  <si>
    <t>Social Enterprise, HealthTech, AgriTech, CleanTech</t>
  </si>
  <si>
    <t>Arogyam, FreshR, Zostel (early support), Docturnal</t>
  </si>
  <si>
    <t>https://iimcip.org</t>
  </si>
  <si>
    <t>TOTAL (TOP 20 VALUATION POWERHOUSES)</t>
  </si>
  <si>
    <t>MASTER SIDE-BY-SIDE COMPARISON (ALL 27 TOP-TIER INCUBATORS)</t>
  </si>
  <si>
    <t>Comparing How Each Incubator Ranks Under Volume/Scale (M1) vs. Valuation/Outcome (M2)</t>
  </si>
  <si>
    <t>S.No.</t>
  </si>
  <si>
    <t>Category / Dual-Ranking Status</t>
  </si>
  <si>
    <t>M1 Rank (Scale)</t>
  </si>
  <si>
    <t>M2 Rank (Valuation)</t>
  </si>
  <si>
    <t>All-Rounder (Top 20 in Both)</t>
  </si>
  <si>
    <t>Scale Leader (M1 Top 20)</t>
  </si>
  <si>
    <t>Unranked (&gt;20)</t>
  </si>
  <si>
    <t>N/A (Early/Volume Focus)</t>
  </si>
  <si>
    <t>Valuation Leader (M2 Top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</si>
</sst>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quot;+&quot;"/>
    <numFmt numFmtId="166" formatCode="#,##0&quot; sq ft&quot;"/>
    <numFmt numFmtId="167" formatCode="&quot;₹&quot;#,##0&quot;+ Cr&quot;"/>
  </numFmts>
  <fonts count="12" x14ac:knownFonts="1">
    <font>
      <sz val="11"/>
      <color theme="1"/>
      <name val="Calibri"/>
      <family val="2"/>
      <scheme val="minor"/>
    </font>
    <font>
      <b/>
      <sz val="16"/>
      <color rgb="FFFFFFFF"/>
      <name val="Calibri"/>
      <family val="2"/>
    </font>
    <font>
      <i/>
      <sz val="10"/>
      <color rgb="FFE2E8F0"/>
      <name val="Calibri"/>
      <family val="2"/>
    </font>
    <font>
      <b/>
      <sz val="16"/>
      <color rgb="FF1B365D"/>
      <name val="Calibri"/>
      <family val="2"/>
    </font>
    <font>
      <b/>
      <sz val="9"/>
      <color rgb="FF475569"/>
      <name val="Calibri"/>
      <family val="2"/>
    </font>
    <font>
      <b/>
      <sz val="11"/>
      <color rgb="FFFFFFFF"/>
      <name val="Calibri"/>
      <family val="2"/>
    </font>
    <font>
      <sz val="10"/>
      <color rgb="FF1E293B"/>
      <name val="Calibri"/>
      <family val="2"/>
    </font>
    <font>
      <b/>
      <sz val="10"/>
      <color rgb="FF1E293B"/>
      <name val="Calibri"/>
      <family val="2"/>
    </font>
    <font>
      <u/>
      <sz val="10"/>
      <color rgb="FF2563EB"/>
      <name val="Calibri"/>
      <family val="2"/>
    </font>
    <font>
      <b/>
      <sz val="10"/>
      <color rgb="FF166534"/>
      <name val="Calibri"/>
      <family val="2"/>
    </font>
    <font>
      <b/>
      <sz val="10"/>
      <color rgb="FF1E40AF"/>
      <name val="Calibri"/>
      <family val="2"/>
    </font>
    <font>
      <i/>
      <sz val="9"/>
      <color rgb="FF475569"/>
      <name val="Calibri"/>
      <family val="2"/>
    </font>
  </fonts>
  <fills count="9">
    <fill>
      <patternFill patternType="none"/>
    </fill>
    <fill>
      <patternFill patternType="gray125"/>
    </fill>
    <fill>
      <patternFill patternType="solid">
        <fgColor rgb="FF1B365D"/>
        <bgColor rgb="FF1B365D"/>
      </patternFill>
    </fill>
    <fill>
      <patternFill patternType="solid">
        <fgColor rgb="FFEBF3FA"/>
        <bgColor rgb="FFEBF3FA"/>
      </patternFill>
    </fill>
    <fill>
      <patternFill patternType="solid">
        <fgColor rgb="FF2C5282"/>
        <bgColor rgb="FF2C5282"/>
      </patternFill>
    </fill>
    <fill>
      <patternFill patternType="solid">
        <fgColor rgb="FFFFFFFF"/>
        <bgColor rgb="FFFFFFFF"/>
      </patternFill>
    </fill>
    <fill>
      <patternFill patternType="solid">
        <fgColor rgb="FFF8FAFC"/>
        <bgColor rgb="FFF8FAFC"/>
      </patternFill>
    </fill>
    <fill>
      <patternFill patternType="solid">
        <fgColor rgb="FFDCFCE7"/>
        <bgColor rgb="FFDCFCE7"/>
      </patternFill>
    </fill>
    <fill>
      <patternFill patternType="solid">
        <fgColor rgb="FFDBEAFE"/>
        <bgColor rgb="FFDBEAFE"/>
      </patternFill>
    </fill>
  </fills>
  <borders count="5">
    <border>
      <left/>
      <right/>
      <top/>
      <bottom/>
      <diagonal/>
    </border>
    <border>
      <left style="thin">
        <color rgb="FFD1D5DB"/>
      </left>
      <right style="thin">
        <color rgb="FFD1D5DB"/>
      </right>
      <top style="medium">
        <color rgb="FF1B365D"/>
      </top>
      <bottom/>
      <diagonal/>
    </border>
    <border>
      <left style="thin">
        <color rgb="FFD1D5DB"/>
      </left>
      <right style="thin">
        <color rgb="FFD1D5DB"/>
      </right>
      <top/>
      <bottom style="medium">
        <color rgb="FF1B365D"/>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medium">
        <color rgb="FF1B365D"/>
      </top>
      <bottom style="medium">
        <color rgb="FF1B365D"/>
      </bottom>
      <diagonal/>
    </border>
  </borders>
  <cellStyleXfs count="1">
    <xf numFmtId="0" fontId="0" fillId="0" borderId="0"/>
  </cellStyleXfs>
  <cellXfs count="41">
    <xf numFmtId="0" fontId="0" fillId="0" borderId="0" xfId="0"/>
    <xf numFmtId="0" fontId="3" fillId="3" borderId="1" xfId="0" applyFont="1" applyFill="1" applyBorder="1" applyAlignment="1">
      <alignment horizontal="center"/>
    </xf>
    <xf numFmtId="0" fontId="4" fillId="3" borderId="2" xfId="0" applyFont="1" applyFill="1" applyBorder="1" applyAlignment="1">
      <alignment horizontal="center" vertical="top" wrapText="1"/>
    </xf>
    <xf numFmtId="0" fontId="5"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164" fontId="7" fillId="5" borderId="3" xfId="0" applyNumberFormat="1" applyFont="1" applyFill="1" applyBorder="1" applyAlignment="1">
      <alignment horizontal="center" vertical="center"/>
    </xf>
    <xf numFmtId="0" fontId="7" fillId="5" borderId="3" xfId="0" applyFont="1" applyFill="1" applyBorder="1" applyAlignment="1">
      <alignment horizontal="left" vertical="center" wrapText="1"/>
    </xf>
    <xf numFmtId="0" fontId="6" fillId="5" borderId="3" xfId="0" applyFont="1" applyFill="1" applyBorder="1" applyAlignment="1">
      <alignment horizontal="center" vertical="center"/>
    </xf>
    <xf numFmtId="0" fontId="6" fillId="5" borderId="3" xfId="0" applyFont="1" applyFill="1" applyBorder="1" applyAlignment="1">
      <alignment horizontal="left" vertical="center" wrapText="1"/>
    </xf>
    <xf numFmtId="165" fontId="7" fillId="5" borderId="3" xfId="0" applyNumberFormat="1" applyFont="1" applyFill="1" applyBorder="1" applyAlignment="1">
      <alignment horizontal="right" vertical="center"/>
    </xf>
    <xf numFmtId="3" fontId="7" fillId="5" borderId="3" xfId="0" applyNumberFormat="1" applyFont="1" applyFill="1" applyBorder="1" applyAlignment="1">
      <alignment horizontal="right" vertical="center"/>
    </xf>
    <xf numFmtId="0" fontId="8" fillId="5" borderId="3" xfId="0" applyFont="1" applyFill="1" applyBorder="1" applyAlignment="1">
      <alignment horizontal="left" vertical="center"/>
    </xf>
    <xf numFmtId="164" fontId="7" fillId="6" borderId="3" xfId="0" applyNumberFormat="1" applyFont="1" applyFill="1" applyBorder="1" applyAlignment="1">
      <alignment horizontal="center" vertical="center"/>
    </xf>
    <xf numFmtId="0" fontId="7" fillId="6" borderId="3" xfId="0" applyFont="1" applyFill="1" applyBorder="1" applyAlignment="1">
      <alignment horizontal="left" vertical="center" wrapText="1"/>
    </xf>
    <xf numFmtId="0" fontId="6" fillId="6" borderId="3" xfId="0" applyFont="1" applyFill="1" applyBorder="1" applyAlignment="1">
      <alignment horizontal="center" vertical="center"/>
    </xf>
    <xf numFmtId="0" fontId="6" fillId="6" borderId="3" xfId="0" applyFont="1" applyFill="1" applyBorder="1" applyAlignment="1">
      <alignment horizontal="left" vertical="center" wrapText="1"/>
    </xf>
    <xf numFmtId="165" fontId="7" fillId="6" borderId="3" xfId="0" applyNumberFormat="1" applyFont="1" applyFill="1" applyBorder="1" applyAlignment="1">
      <alignment horizontal="right" vertical="center"/>
    </xf>
    <xf numFmtId="3" fontId="7" fillId="6" borderId="3" xfId="0" applyNumberFormat="1" applyFont="1" applyFill="1" applyBorder="1" applyAlignment="1">
      <alignment horizontal="right" vertical="center"/>
    </xf>
    <xf numFmtId="0" fontId="8" fillId="6" borderId="3" xfId="0" applyFont="1" applyFill="1" applyBorder="1" applyAlignment="1">
      <alignment horizontal="left" vertical="center"/>
    </xf>
    <xf numFmtId="0" fontId="7" fillId="3" borderId="4" xfId="0" applyFont="1" applyFill="1" applyBorder="1"/>
    <xf numFmtId="165" fontId="7" fillId="3" borderId="4" xfId="0" applyNumberFormat="1" applyFont="1" applyFill="1" applyBorder="1" applyAlignment="1">
      <alignment horizontal="right" vertical="center"/>
    </xf>
    <xf numFmtId="166" fontId="7" fillId="3" borderId="4" xfId="0" applyNumberFormat="1" applyFont="1" applyFill="1" applyBorder="1" applyAlignment="1">
      <alignment horizontal="right" vertical="center"/>
    </xf>
    <xf numFmtId="167" fontId="7" fillId="5" borderId="3" xfId="0" applyNumberFormat="1" applyFont="1" applyFill="1" applyBorder="1" applyAlignment="1">
      <alignment horizontal="right" vertical="center"/>
    </xf>
    <xf numFmtId="165" fontId="6" fillId="5" borderId="3" xfId="0" applyNumberFormat="1" applyFont="1" applyFill="1" applyBorder="1" applyAlignment="1">
      <alignment horizontal="right" vertical="center"/>
    </xf>
    <xf numFmtId="167" fontId="7" fillId="6" borderId="3" xfId="0" applyNumberFormat="1" applyFont="1" applyFill="1" applyBorder="1" applyAlignment="1">
      <alignment horizontal="right" vertical="center"/>
    </xf>
    <xf numFmtId="165" fontId="6" fillId="6" borderId="3" xfId="0" applyNumberFormat="1" applyFont="1" applyFill="1" applyBorder="1" applyAlignment="1">
      <alignment horizontal="right" vertical="center"/>
    </xf>
    <xf numFmtId="167" fontId="7" fillId="3" borderId="4" xfId="0" applyNumberFormat="1" applyFont="1" applyFill="1" applyBorder="1" applyAlignment="1">
      <alignment horizontal="right" vertical="center"/>
    </xf>
    <xf numFmtId="0" fontId="7" fillId="5" borderId="3" xfId="0" applyFont="1" applyFill="1" applyBorder="1" applyAlignment="1">
      <alignment horizontal="left" vertical="center"/>
    </xf>
    <xf numFmtId="0" fontId="9" fillId="7" borderId="3" xfId="0" applyFont="1" applyFill="1" applyBorder="1" applyAlignment="1">
      <alignment horizontal="center" vertical="center"/>
    </xf>
    <xf numFmtId="0" fontId="6" fillId="5" borderId="3" xfId="0" applyFont="1" applyFill="1" applyBorder="1" applyAlignment="1">
      <alignment horizontal="left" vertical="center"/>
    </xf>
    <xf numFmtId="0" fontId="7" fillId="6" borderId="3" xfId="0" applyFont="1" applyFill="1" applyBorder="1" applyAlignment="1">
      <alignment horizontal="left" vertical="center"/>
    </xf>
    <xf numFmtId="0" fontId="6" fillId="6" borderId="3" xfId="0" applyFont="1" applyFill="1" applyBorder="1" applyAlignment="1">
      <alignment horizontal="left" vertical="center"/>
    </xf>
    <xf numFmtId="0" fontId="10" fillId="8" borderId="3" xfId="0" applyFont="1" applyFill="1" applyBorder="1" applyAlignment="1">
      <alignment horizontal="center" vertical="center"/>
    </xf>
    <xf numFmtId="0" fontId="11" fillId="5" borderId="3" xfId="0" applyFont="1" applyFill="1" applyBorder="1" applyAlignment="1">
      <alignment horizontal="center" vertical="center"/>
    </xf>
    <xf numFmtId="0" fontId="11" fillId="6" borderId="3" xfId="0" applyFont="1" applyFill="1" applyBorder="1" applyAlignment="1">
      <alignment horizontal="center" vertical="center"/>
    </xf>
    <xf numFmtId="0" fontId="2" fillId="2" borderId="0" xfId="0" applyFont="1" applyFill="1" applyAlignment="1">
      <alignment horizontal="left" vertical="center" indent="1"/>
    </xf>
    <xf numFmtId="0" fontId="0" fillId="0" borderId="0" xfId="0"/>
    <xf numFmtId="0" fontId="6" fillId="5" borderId="3" xfId="0" applyFont="1" applyFill="1" applyBorder="1" applyAlignment="1">
      <alignment horizontal="left" vertical="top" wrapText="1" indent="1"/>
    </xf>
    <xf numFmtId="0" fontId="0" fillId="0" borderId="3" xfId="0" applyBorder="1"/>
    <xf numFmtId="0" fontId="5" fillId="4" borderId="0" xfId="0" applyFont="1" applyFill="1" applyAlignment="1">
      <alignment horizontal="left" vertical="center" indent="1"/>
    </xf>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Top 10 Incubators by Cumulative Startups Incubated (Methodology 1)</a:t>
            </a:r>
          </a:p>
        </c:rich>
      </c:tx>
      <c:overlay val="0"/>
    </c:title>
    <c:autoTitleDeleted val="0"/>
    <c:plotArea>
      <c:layout/>
      <c:barChart>
        <c:barDir val="bar"/>
        <c:grouping val="clustered"/>
        <c:varyColors val="0"/>
        <c:ser>
          <c:idx val="0"/>
          <c:order val="0"/>
          <c:tx>
            <c:strRef>
              <c:f>'2_M1_Scale_&amp;_Throughput'!$F$4</c:f>
              <c:strCache>
                <c:ptCount val="1"/>
                <c:pt idx="0">
                  <c:v>Startups Incubated</c:v>
                </c:pt>
              </c:strCache>
            </c:strRef>
          </c:tx>
          <c:spPr>
            <a:ln>
              <a:prstDash val="solid"/>
            </a:ln>
          </c:spPr>
          <c:invertIfNegative val="0"/>
          <c:cat>
            <c:strRef>
              <c:f>'2_M1_Scale_&amp;_Throughput'!$B$5:$B$14</c:f>
              <c:strCache>
                <c:ptCount val="10"/>
                <c:pt idx="0">
                  <c:v>Kerala Startup Mission (KSUM)</c:v>
                </c:pt>
                <c:pt idx="1">
                  <c:v>NASSCOM 10,000 Startups</c:v>
                </c:pt>
                <c:pt idx="2">
                  <c:v>T-Hub (Technology Hub)</c:v>
                </c:pt>
                <c:pt idx="3">
                  <c:v>NSRCEL, IIM Bangalore</c:v>
                </c:pt>
                <c:pt idx="4">
                  <c:v>IKP Knowledge Park</c:v>
                </c:pt>
                <c:pt idx="5">
                  <c:v>IIMA Ventures (formerly CIIE.CO)</c:v>
                </c:pt>
                <c:pt idx="6">
                  <c:v>i-Hub Gujarat</c:v>
                </c:pt>
                <c:pt idx="7">
                  <c:v>Venture Center (CSIR-NCL)</c:v>
                </c:pt>
                <c:pt idx="8">
                  <c:v>GUSEC (Gujarat University)</c:v>
                </c:pt>
                <c:pt idx="9">
                  <c:v>WE Hub (Women Entrepreneurs Hub)</c:v>
                </c:pt>
              </c:strCache>
            </c:strRef>
          </c:cat>
          <c:val>
            <c:numRef>
              <c:f>'2_M1_Scale_&amp;_Throughput'!$F$5:$F$14</c:f>
              <c:numCache>
                <c:formatCode>#,##0"+"</c:formatCode>
                <c:ptCount val="10"/>
                <c:pt idx="0">
                  <c:v>6000</c:v>
                </c:pt>
                <c:pt idx="1">
                  <c:v>3500</c:v>
                </c:pt>
                <c:pt idx="2">
                  <c:v>2000</c:v>
                </c:pt>
                <c:pt idx="3">
                  <c:v>1500</c:v>
                </c:pt>
                <c:pt idx="4">
                  <c:v>1400</c:v>
                </c:pt>
                <c:pt idx="5">
                  <c:v>1000</c:v>
                </c:pt>
                <c:pt idx="6">
                  <c:v>840</c:v>
                </c:pt>
                <c:pt idx="7">
                  <c:v>700</c:v>
                </c:pt>
                <c:pt idx="8">
                  <c:v>600</c:v>
                </c:pt>
                <c:pt idx="9">
                  <c:v>550</c:v>
                </c:pt>
              </c:numCache>
            </c:numRef>
          </c:val>
          <c:extLst>
            <c:ext xmlns:c16="http://schemas.microsoft.com/office/drawing/2014/chart" uri="{C3380CC4-5D6E-409C-BE32-E72D297353CC}">
              <c16:uniqueId val="{00000000-A5D9-4ABF-B629-3C65C4869790}"/>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IN"/>
                  <a:t>Startups Incubated</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IN"/>
                  <a:t>Incubator</a:t>
                </a:r>
              </a:p>
            </c:rich>
          </c:tx>
          <c:overlay val="0"/>
        </c:title>
        <c:numFmt formatCode="#,##0&quot;+&quot;"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1"/>
    </mc:Choice>
    <mc:Fallback>
      <c:style val="11"/>
    </mc:Fallback>
  </mc:AlternateContent>
  <c:chart>
    <c:title>
      <c:tx>
        <c:rich>
          <a:bodyPr/>
          <a:lstStyle/>
          <a:p>
            <a:pPr>
              <a:defRPr/>
            </a:pPr>
            <a:r>
              <a:t>Top 10 Incubators by Est. Portfolio Valuation in ₹ Cr (Methodology 2)</a:t>
            </a:r>
          </a:p>
        </c:rich>
      </c:tx>
      <c:overlay val="0"/>
    </c:title>
    <c:autoTitleDeleted val="0"/>
    <c:plotArea>
      <c:layout/>
      <c:barChart>
        <c:barDir val="bar"/>
        <c:grouping val="clustered"/>
        <c:varyColors val="0"/>
        <c:ser>
          <c:idx val="0"/>
          <c:order val="0"/>
          <c:tx>
            <c:strRef>
              <c:f>'3_M2_Valuation_&amp;_Impact'!$F$4</c:f>
              <c:strCache>
                <c:ptCount val="1"/>
                <c:pt idx="0">
                  <c:v>Est. Portfolio Valuation (₹ Cr)</c:v>
                </c:pt>
              </c:strCache>
            </c:strRef>
          </c:tx>
          <c:spPr>
            <a:ln>
              <a:prstDash val="solid"/>
            </a:ln>
          </c:spPr>
          <c:invertIfNegative val="0"/>
          <c:cat>
            <c:strRef>
              <c:f>'3_M2_Valuation_&amp;_Impact'!$B$5:$B$14</c:f>
              <c:strCache>
                <c:ptCount val="10"/>
                <c:pt idx="0">
                  <c:v>IIMA Ventures (formerly CIIE.CO)</c:v>
                </c:pt>
                <c:pt idx="1">
                  <c:v>IIT Madras Incubation Cell (IITMIC)</c:v>
                </c:pt>
                <c:pt idx="2">
                  <c:v>NSRCEL, IIM Bangalore</c:v>
                </c:pt>
                <c:pt idx="3">
                  <c:v>T-Hub (Technology Hub)</c:v>
                </c:pt>
                <c:pt idx="4">
                  <c:v>SINE, IIT Bombay</c:v>
                </c:pt>
                <c:pt idx="5">
                  <c:v>Venture Catalysts (VCats) / 100Unicorns</c:v>
                </c:pt>
                <c:pt idx="6">
                  <c:v>NASSCOM 10,000 Startups</c:v>
                </c:pt>
                <c:pt idx="7">
                  <c:v>FITT, IIT Delhi</c:v>
                </c:pt>
                <c:pt idx="8">
                  <c:v>Axilor Ventures</c:v>
                </c:pt>
                <c:pt idx="9">
                  <c:v>C-CAMP</c:v>
                </c:pt>
              </c:strCache>
            </c:strRef>
          </c:cat>
          <c:val>
            <c:numRef>
              <c:f>'3_M2_Valuation_&amp;_Impact'!$F$5:$F$14</c:f>
              <c:numCache>
                <c:formatCode>"₹"#,##0"+ Cr"</c:formatCode>
                <c:ptCount val="10"/>
                <c:pt idx="0">
                  <c:v>45000</c:v>
                </c:pt>
                <c:pt idx="1">
                  <c:v>40000</c:v>
                </c:pt>
                <c:pt idx="2">
                  <c:v>38000</c:v>
                </c:pt>
                <c:pt idx="3">
                  <c:v>32000</c:v>
                </c:pt>
                <c:pt idx="4">
                  <c:v>25000</c:v>
                </c:pt>
                <c:pt idx="5">
                  <c:v>22000</c:v>
                </c:pt>
                <c:pt idx="6">
                  <c:v>20000</c:v>
                </c:pt>
                <c:pt idx="7">
                  <c:v>14000</c:v>
                </c:pt>
                <c:pt idx="8">
                  <c:v>12500</c:v>
                </c:pt>
                <c:pt idx="9">
                  <c:v>10000</c:v>
                </c:pt>
              </c:numCache>
            </c:numRef>
          </c:val>
          <c:extLst>
            <c:ext xmlns:c16="http://schemas.microsoft.com/office/drawing/2014/chart" uri="{C3380CC4-5D6E-409C-BE32-E72D297353CC}">
              <c16:uniqueId val="{00000000-B2F6-4881-81E4-445AB871DFA6}"/>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t>Est. Portfolio Valuation (₹ Crore)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t>Incubator</a:t>
                </a:r>
              </a:p>
            </c:rich>
          </c:tx>
          <c:overlay val="0"/>
        </c:title>
        <c:numFmt formatCode="&quot;₹&quot;#,##0&quot;+ Cr&quot;"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0</xdr:colOff>
      <xdr:row>26</xdr:row>
      <xdr:rowOff>0</xdr:rowOff>
    </xdr:from>
    <xdr:ext cx="792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26</xdr:row>
      <xdr:rowOff>0</xdr:rowOff>
    </xdr:from>
    <xdr:ext cx="792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venturecenter.co.in/" TargetMode="External"/><Relationship Id="rId13" Type="http://schemas.openxmlformats.org/officeDocument/2006/relationships/hyperlink" Target="https://kiitincubator.in/" TargetMode="External"/><Relationship Id="rId18" Type="http://schemas.openxmlformats.org/officeDocument/2006/relationships/hyperlink" Target="https://aim.gov.in/" TargetMode="External"/><Relationship Id="rId3" Type="http://schemas.openxmlformats.org/officeDocument/2006/relationships/hyperlink" Target="https://t-hub.co/" TargetMode="External"/><Relationship Id="rId21" Type="http://schemas.openxmlformats.org/officeDocument/2006/relationships/drawing" Target="../drawings/drawing1.xml"/><Relationship Id="rId7" Type="http://schemas.openxmlformats.org/officeDocument/2006/relationships/hyperlink" Target="https://ihubgujarat.in/" TargetMode="External"/><Relationship Id="rId12" Type="http://schemas.openxmlformats.org/officeDocument/2006/relationships/hyperlink" Target="https://siicincubator.com/" TargetMode="External"/><Relationship Id="rId17" Type="http://schemas.openxmlformats.org/officeDocument/2006/relationships/hyperlink" Target="https://amity.edu/incubator" TargetMode="External"/><Relationship Id="rId2" Type="http://schemas.openxmlformats.org/officeDocument/2006/relationships/hyperlink" Target="https://10000startups.com/" TargetMode="External"/><Relationship Id="rId16" Type="http://schemas.openxmlformats.org/officeDocument/2006/relationships/hyperlink" Target="https://villgro.org/" TargetMode="External"/><Relationship Id="rId20" Type="http://schemas.openxmlformats.org/officeDocument/2006/relationships/hyperlink" Target="https://sineiitb.org/" TargetMode="External"/><Relationship Id="rId1" Type="http://schemas.openxmlformats.org/officeDocument/2006/relationships/hyperlink" Target="https://startupmission.kerala.gov.in/" TargetMode="External"/><Relationship Id="rId6" Type="http://schemas.openxmlformats.org/officeDocument/2006/relationships/hyperlink" Target="https://iimaventures.com/" TargetMode="External"/><Relationship Id="rId11" Type="http://schemas.openxmlformats.org/officeDocument/2006/relationships/hyperlink" Target="https://fitt-iitd.in/" TargetMode="External"/><Relationship Id="rId5" Type="http://schemas.openxmlformats.org/officeDocument/2006/relationships/hyperlink" Target="https://ikpknowledgepark.com/" TargetMode="External"/><Relationship Id="rId15" Type="http://schemas.openxmlformats.org/officeDocument/2006/relationships/hyperlink" Target="https://incubation.iitm.ac.in/" TargetMode="External"/><Relationship Id="rId10" Type="http://schemas.openxmlformats.org/officeDocument/2006/relationships/hyperlink" Target="https://wehub.telangana.gov.in/" TargetMode="External"/><Relationship Id="rId19" Type="http://schemas.openxmlformats.org/officeDocument/2006/relationships/hyperlink" Target="https://iitmandicatalyst.in/" TargetMode="External"/><Relationship Id="rId4" Type="http://schemas.openxmlformats.org/officeDocument/2006/relationships/hyperlink" Target="https://nsrcel.org/" TargetMode="External"/><Relationship Id="rId9" Type="http://schemas.openxmlformats.org/officeDocument/2006/relationships/hyperlink" Target="https://gusec.edu.in/" TargetMode="External"/><Relationship Id="rId14" Type="http://schemas.openxmlformats.org/officeDocument/2006/relationships/hyperlink" Target="https://ccamp.res.i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fitt-iitd.in/" TargetMode="External"/><Relationship Id="rId13" Type="http://schemas.openxmlformats.org/officeDocument/2006/relationships/hyperlink" Target="https://socialalpha.org/" TargetMode="External"/><Relationship Id="rId18" Type="http://schemas.openxmlformats.org/officeDocument/2006/relationships/hyperlink" Target="https://venturecenter.co.in/" TargetMode="External"/><Relationship Id="rId3" Type="http://schemas.openxmlformats.org/officeDocument/2006/relationships/hyperlink" Target="https://nsrcel.org/" TargetMode="External"/><Relationship Id="rId21" Type="http://schemas.openxmlformats.org/officeDocument/2006/relationships/drawing" Target="../drawings/drawing2.xml"/><Relationship Id="rId7" Type="http://schemas.openxmlformats.org/officeDocument/2006/relationships/hyperlink" Target="https://10000startups.com/" TargetMode="External"/><Relationship Id="rId12" Type="http://schemas.openxmlformats.org/officeDocument/2006/relationships/hyperlink" Target="https://siicincubator.com/" TargetMode="External"/><Relationship Id="rId17" Type="http://schemas.openxmlformats.org/officeDocument/2006/relationships/hyperlink" Target="https://india.zonestartups.com/" TargetMode="External"/><Relationship Id="rId2" Type="http://schemas.openxmlformats.org/officeDocument/2006/relationships/hyperlink" Target="https://incubation.iitm.ac.in/" TargetMode="External"/><Relationship Id="rId16" Type="http://schemas.openxmlformats.org/officeDocument/2006/relationships/hyperlink" Target="https://villgro.org/" TargetMode="External"/><Relationship Id="rId20" Type="http://schemas.openxmlformats.org/officeDocument/2006/relationships/hyperlink" Target="https://iimcip.org/" TargetMode="External"/><Relationship Id="rId1" Type="http://schemas.openxmlformats.org/officeDocument/2006/relationships/hyperlink" Target="https://iimaventures.com/" TargetMode="External"/><Relationship Id="rId6" Type="http://schemas.openxmlformats.org/officeDocument/2006/relationships/hyperlink" Target="https://venturecatalysts.in/" TargetMode="External"/><Relationship Id="rId11" Type="http://schemas.openxmlformats.org/officeDocument/2006/relationships/hyperlink" Target="https://ikpknowledgepark.com/" TargetMode="External"/><Relationship Id="rId5" Type="http://schemas.openxmlformats.org/officeDocument/2006/relationships/hyperlink" Target="https://sineiitb.org/" TargetMode="External"/><Relationship Id="rId15" Type="http://schemas.openxmlformats.org/officeDocument/2006/relationships/hyperlink" Target="https://cie.iiit.ac.in/" TargetMode="External"/><Relationship Id="rId10" Type="http://schemas.openxmlformats.org/officeDocument/2006/relationships/hyperlink" Target="https://ccamp.res.in/" TargetMode="External"/><Relationship Id="rId19" Type="http://schemas.openxmlformats.org/officeDocument/2006/relationships/hyperlink" Target="https://sid.iisc.ac.in/" TargetMode="External"/><Relationship Id="rId4" Type="http://schemas.openxmlformats.org/officeDocument/2006/relationships/hyperlink" Target="https://t-hub.co/" TargetMode="External"/><Relationship Id="rId9" Type="http://schemas.openxmlformats.org/officeDocument/2006/relationships/hyperlink" Target="https://axilor.com/" TargetMode="External"/><Relationship Id="rId14" Type="http://schemas.openxmlformats.org/officeDocument/2006/relationships/hyperlink" Target="https://startupmission.kerala.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8"/>
  <sheetViews>
    <sheetView tabSelected="1" workbookViewId="0">
      <selection sqref="A1:F1"/>
    </sheetView>
  </sheetViews>
  <sheetFormatPr defaultRowHeight="14.4" x14ac:dyDescent="0.3"/>
  <cols>
    <col min="1" max="6" width="25" customWidth="1"/>
  </cols>
  <sheetData>
    <row r="1" spans="1:6" ht="30" customHeight="1" x14ac:dyDescent="0.3">
      <c r="A1" s="40" t="s">
        <v>0</v>
      </c>
      <c r="B1" s="36"/>
      <c r="C1" s="36"/>
      <c r="D1" s="36"/>
      <c r="E1" s="36"/>
      <c r="F1" s="36"/>
    </row>
    <row r="2" spans="1:6" ht="26.4" customHeight="1" x14ac:dyDescent="0.3">
      <c r="A2" s="35" t="s">
        <v>1</v>
      </c>
      <c r="B2" s="36"/>
      <c r="C2" s="36"/>
      <c r="D2" s="36"/>
      <c r="E2" s="36"/>
      <c r="F2" s="36"/>
    </row>
    <row r="3" spans="1:6" ht="10.050000000000001" customHeight="1" x14ac:dyDescent="0.3"/>
    <row r="4" spans="1:6" ht="25.95" customHeight="1" x14ac:dyDescent="0.4">
      <c r="A4" s="1" t="s">
        <v>2</v>
      </c>
      <c r="B4" s="1" t="s">
        <v>3</v>
      </c>
      <c r="C4" s="1" t="s">
        <v>4</v>
      </c>
      <c r="D4" s="1" t="s">
        <v>5</v>
      </c>
      <c r="E4" s="1" t="s">
        <v>6</v>
      </c>
      <c r="F4" s="1" t="s">
        <v>7</v>
      </c>
    </row>
    <row r="5" spans="1:6" ht="51.6" customHeight="1" x14ac:dyDescent="0.3">
      <c r="A5" s="2" t="s">
        <v>8</v>
      </c>
      <c r="B5" s="2" t="s">
        <v>9</v>
      </c>
      <c r="C5" s="2" t="s">
        <v>10</v>
      </c>
      <c r="D5" s="2" t="s">
        <v>11</v>
      </c>
      <c r="E5" s="2" t="s">
        <v>12</v>
      </c>
      <c r="F5" s="2" t="s">
        <v>13</v>
      </c>
    </row>
    <row r="6" spans="1:6" ht="12" customHeight="1" x14ac:dyDescent="0.3"/>
    <row r="7" spans="1:6" ht="24" customHeight="1" x14ac:dyDescent="0.3">
      <c r="A7" s="39" t="s">
        <v>14</v>
      </c>
      <c r="B7" s="36"/>
      <c r="C7" s="36"/>
      <c r="D7" s="36"/>
      <c r="E7" s="36"/>
      <c r="F7" s="36"/>
    </row>
    <row r="8" spans="1:6" ht="115.05" customHeight="1" x14ac:dyDescent="0.3">
      <c r="A8" s="37" t="s">
        <v>15</v>
      </c>
      <c r="B8" s="38"/>
      <c r="C8" s="38"/>
      <c r="D8" s="38"/>
      <c r="E8" s="38"/>
      <c r="F8" s="38"/>
    </row>
    <row r="9" spans="1:6" ht="10.050000000000001" customHeight="1" x14ac:dyDescent="0.3"/>
    <row r="10" spans="1:6" ht="24" customHeight="1" x14ac:dyDescent="0.3">
      <c r="A10" s="39" t="s">
        <v>16</v>
      </c>
      <c r="B10" s="36"/>
      <c r="C10" s="36"/>
      <c r="D10" s="36"/>
      <c r="E10" s="36"/>
      <c r="F10" s="36"/>
    </row>
    <row r="11" spans="1:6" ht="145.05000000000001" customHeight="1" x14ac:dyDescent="0.3">
      <c r="A11" s="37" t="s">
        <v>17</v>
      </c>
      <c r="B11" s="38"/>
      <c r="C11" s="38"/>
      <c r="D11" s="38"/>
      <c r="E11" s="38"/>
      <c r="F11" s="38"/>
    </row>
    <row r="12" spans="1:6" ht="10.050000000000001" customHeight="1" x14ac:dyDescent="0.3"/>
    <row r="13" spans="1:6" ht="24" customHeight="1" x14ac:dyDescent="0.3">
      <c r="A13" s="39" t="s">
        <v>18</v>
      </c>
      <c r="B13" s="36"/>
      <c r="C13" s="36"/>
      <c r="D13" s="36"/>
      <c r="E13" s="36"/>
      <c r="F13" s="36"/>
    </row>
    <row r="14" spans="1:6" ht="214.95" customHeight="1" x14ac:dyDescent="0.3">
      <c r="A14" s="37" t="s">
        <v>19</v>
      </c>
      <c r="B14" s="38"/>
      <c r="C14" s="38"/>
      <c r="D14" s="38"/>
      <c r="E14" s="38"/>
      <c r="F14" s="38"/>
    </row>
    <row r="15" spans="1:6" ht="10.050000000000001" customHeight="1" x14ac:dyDescent="0.3"/>
    <row r="16" spans="1:6" ht="24" customHeight="1" x14ac:dyDescent="0.3">
      <c r="A16" s="39" t="s">
        <v>20</v>
      </c>
      <c r="B16" s="36"/>
      <c r="C16" s="36"/>
      <c r="D16" s="36"/>
      <c r="E16" s="36"/>
      <c r="F16" s="36"/>
    </row>
    <row r="17" spans="1:6" ht="175.05" customHeight="1" x14ac:dyDescent="0.3">
      <c r="A17" s="37" t="s">
        <v>21</v>
      </c>
      <c r="B17" s="38"/>
      <c r="C17" s="38"/>
      <c r="D17" s="38"/>
      <c r="E17" s="38"/>
      <c r="F17" s="38"/>
    </row>
    <row r="18" spans="1:6" ht="10.050000000000001" customHeight="1" x14ac:dyDescent="0.3"/>
  </sheetData>
  <mergeCells count="10">
    <mergeCell ref="A1:F1"/>
    <mergeCell ref="A8:F8"/>
    <mergeCell ref="A17:F17"/>
    <mergeCell ref="A7:F7"/>
    <mergeCell ref="A2:F2"/>
    <mergeCell ref="A11:F11"/>
    <mergeCell ref="A16:F16"/>
    <mergeCell ref="A10:F10"/>
    <mergeCell ref="A13:F13"/>
    <mergeCell ref="A14:F14"/>
  </mergeCells>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5"/>
  <sheetViews>
    <sheetView workbookViewId="0">
      <pane xSplit="2" ySplit="4" topLeftCell="C5" activePane="bottomRight" state="frozen"/>
      <selection pane="topRight"/>
      <selection pane="bottomLeft"/>
      <selection pane="bottomRight" sqref="A1:K1"/>
    </sheetView>
  </sheetViews>
  <sheetFormatPr defaultRowHeight="14.4" x14ac:dyDescent="0.3"/>
  <cols>
    <col min="1" max="1" width="11" customWidth="1"/>
    <col min="2" max="2" width="34" customWidth="1"/>
    <col min="3" max="3" width="11" customWidth="1"/>
    <col min="4" max="4" width="26" customWidth="1"/>
    <col min="5" max="5" width="25" customWidth="1"/>
    <col min="6" max="6" width="19" customWidth="1"/>
    <col min="7" max="7" width="22" customWidth="1"/>
    <col min="8" max="8" width="34" customWidth="1"/>
    <col min="9" max="9" width="38" customWidth="1"/>
    <col min="10" max="10" width="34" customWidth="1"/>
    <col min="11" max="11" width="30" customWidth="1"/>
  </cols>
  <sheetData>
    <row r="1" spans="1:11" ht="30" customHeight="1" x14ac:dyDescent="0.3">
      <c r="A1" s="40" t="s">
        <v>22</v>
      </c>
      <c r="B1" s="36"/>
      <c r="C1" s="36"/>
      <c r="D1" s="36"/>
      <c r="E1" s="36"/>
      <c r="F1" s="36"/>
      <c r="G1" s="36"/>
      <c r="H1" s="36"/>
      <c r="I1" s="36"/>
      <c r="J1" s="36"/>
      <c r="K1" s="36"/>
    </row>
    <row r="2" spans="1:11" ht="19.95" customHeight="1" x14ac:dyDescent="0.3">
      <c r="A2" s="35" t="s">
        <v>23</v>
      </c>
      <c r="B2" s="36"/>
      <c r="C2" s="36"/>
      <c r="D2" s="36"/>
      <c r="E2" s="36"/>
      <c r="F2" s="36"/>
      <c r="G2" s="36"/>
      <c r="H2" s="36"/>
      <c r="I2" s="36"/>
      <c r="J2" s="36"/>
      <c r="K2" s="36"/>
    </row>
    <row r="3" spans="1:11" ht="10.050000000000001" customHeight="1" x14ac:dyDescent="0.3"/>
    <row r="4" spans="1:11" ht="28.05" customHeight="1" x14ac:dyDescent="0.3">
      <c r="A4" s="3" t="s">
        <v>24</v>
      </c>
      <c r="B4" s="4" t="s">
        <v>25</v>
      </c>
      <c r="C4" s="3" t="s">
        <v>26</v>
      </c>
      <c r="D4" s="4" t="s">
        <v>27</v>
      </c>
      <c r="E4" s="4" t="s">
        <v>28</v>
      </c>
      <c r="F4" s="3" t="s">
        <v>29</v>
      </c>
      <c r="G4" s="3" t="s">
        <v>30</v>
      </c>
      <c r="H4" s="4" t="s">
        <v>31</v>
      </c>
      <c r="I4" s="4" t="s">
        <v>32</v>
      </c>
      <c r="J4" s="4" t="s">
        <v>33</v>
      </c>
      <c r="K4" s="4" t="s">
        <v>34</v>
      </c>
    </row>
    <row r="5" spans="1:11" ht="34.049999999999997" customHeight="1" x14ac:dyDescent="0.3">
      <c r="A5" s="5">
        <v>1</v>
      </c>
      <c r="B5" s="6" t="s">
        <v>35</v>
      </c>
      <c r="C5" s="7">
        <v>2006</v>
      </c>
      <c r="D5" s="8" t="s">
        <v>36</v>
      </c>
      <c r="E5" s="8" t="s">
        <v>37</v>
      </c>
      <c r="F5" s="9">
        <v>6000</v>
      </c>
      <c r="G5" s="10">
        <v>200000</v>
      </c>
      <c r="H5" s="8" t="s">
        <v>38</v>
      </c>
      <c r="I5" s="8" t="s">
        <v>39</v>
      </c>
      <c r="J5" s="8" t="s">
        <v>40</v>
      </c>
      <c r="K5" s="11" t="s">
        <v>41</v>
      </c>
    </row>
    <row r="6" spans="1:11" ht="34.049999999999997" customHeight="1" x14ac:dyDescent="0.3">
      <c r="A6" s="12">
        <v>2</v>
      </c>
      <c r="B6" s="13" t="s">
        <v>42</v>
      </c>
      <c r="C6" s="14">
        <v>2013</v>
      </c>
      <c r="D6" s="15" t="s">
        <v>43</v>
      </c>
      <c r="E6" s="15" t="s">
        <v>44</v>
      </c>
      <c r="F6" s="16">
        <v>3500</v>
      </c>
      <c r="G6" s="17">
        <v>150000</v>
      </c>
      <c r="H6" s="15" t="s">
        <v>45</v>
      </c>
      <c r="I6" s="15" t="s">
        <v>46</v>
      </c>
      <c r="J6" s="15" t="s">
        <v>47</v>
      </c>
      <c r="K6" s="18" t="s">
        <v>48</v>
      </c>
    </row>
    <row r="7" spans="1:11" ht="34.049999999999997" customHeight="1" x14ac:dyDescent="0.3">
      <c r="A7" s="5">
        <v>3</v>
      </c>
      <c r="B7" s="6" t="s">
        <v>49</v>
      </c>
      <c r="C7" s="7">
        <v>2015</v>
      </c>
      <c r="D7" s="8" t="s">
        <v>50</v>
      </c>
      <c r="E7" s="8" t="s">
        <v>51</v>
      </c>
      <c r="F7" s="9">
        <v>2000</v>
      </c>
      <c r="G7" s="10">
        <v>582689</v>
      </c>
      <c r="H7" s="8" t="s">
        <v>52</v>
      </c>
      <c r="I7" s="8" t="s">
        <v>53</v>
      </c>
      <c r="J7" s="8" t="s">
        <v>54</v>
      </c>
      <c r="K7" s="11" t="s">
        <v>55</v>
      </c>
    </row>
    <row r="8" spans="1:11" ht="34.049999999999997" customHeight="1" x14ac:dyDescent="0.3">
      <c r="A8" s="12">
        <v>4</v>
      </c>
      <c r="B8" s="13" t="s">
        <v>56</v>
      </c>
      <c r="C8" s="14">
        <v>2000</v>
      </c>
      <c r="D8" s="15" t="s">
        <v>57</v>
      </c>
      <c r="E8" s="15" t="s">
        <v>58</v>
      </c>
      <c r="F8" s="16">
        <v>1500</v>
      </c>
      <c r="G8" s="17">
        <v>45000</v>
      </c>
      <c r="H8" s="15" t="s">
        <v>59</v>
      </c>
      <c r="I8" s="15" t="s">
        <v>60</v>
      </c>
      <c r="J8" s="15" t="s">
        <v>61</v>
      </c>
      <c r="K8" s="18" t="s">
        <v>62</v>
      </c>
    </row>
    <row r="9" spans="1:11" ht="34.049999999999997" customHeight="1" x14ac:dyDescent="0.3">
      <c r="A9" s="5">
        <v>5</v>
      </c>
      <c r="B9" s="6" t="s">
        <v>63</v>
      </c>
      <c r="C9" s="7">
        <v>1999</v>
      </c>
      <c r="D9" s="8" t="s">
        <v>64</v>
      </c>
      <c r="E9" s="8" t="s">
        <v>65</v>
      </c>
      <c r="F9" s="9">
        <v>1400</v>
      </c>
      <c r="G9" s="10">
        <v>250000</v>
      </c>
      <c r="H9" s="8" t="s">
        <v>66</v>
      </c>
      <c r="I9" s="8" t="s">
        <v>67</v>
      </c>
      <c r="J9" s="8" t="s">
        <v>68</v>
      </c>
      <c r="K9" s="11" t="s">
        <v>69</v>
      </c>
    </row>
    <row r="10" spans="1:11" ht="34.049999999999997" customHeight="1" x14ac:dyDescent="0.3">
      <c r="A10" s="12">
        <v>6</v>
      </c>
      <c r="B10" s="13" t="s">
        <v>70</v>
      </c>
      <c r="C10" s="14">
        <v>2002</v>
      </c>
      <c r="D10" s="15" t="s">
        <v>71</v>
      </c>
      <c r="E10" s="15" t="s">
        <v>72</v>
      </c>
      <c r="F10" s="16">
        <v>1000</v>
      </c>
      <c r="G10" s="17">
        <v>40000</v>
      </c>
      <c r="H10" s="15" t="s">
        <v>73</v>
      </c>
      <c r="I10" s="15" t="s">
        <v>74</v>
      </c>
      <c r="J10" s="15" t="s">
        <v>75</v>
      </c>
      <c r="K10" s="18" t="s">
        <v>76</v>
      </c>
    </row>
    <row r="11" spans="1:11" ht="34.049999999999997" customHeight="1" x14ac:dyDescent="0.3">
      <c r="A11" s="5">
        <v>7</v>
      </c>
      <c r="B11" s="6" t="s">
        <v>77</v>
      </c>
      <c r="C11" s="7">
        <v>2019</v>
      </c>
      <c r="D11" s="8" t="s">
        <v>71</v>
      </c>
      <c r="E11" s="8" t="s">
        <v>37</v>
      </c>
      <c r="F11" s="9">
        <v>840</v>
      </c>
      <c r="G11" s="10">
        <v>150000</v>
      </c>
      <c r="H11" s="8" t="s">
        <v>78</v>
      </c>
      <c r="I11" s="8" t="s">
        <v>79</v>
      </c>
      <c r="J11" s="8" t="s">
        <v>80</v>
      </c>
      <c r="K11" s="11" t="s">
        <v>81</v>
      </c>
    </row>
    <row r="12" spans="1:11" ht="34.049999999999997" customHeight="1" x14ac:dyDescent="0.3">
      <c r="A12" s="12">
        <v>8</v>
      </c>
      <c r="B12" s="13" t="s">
        <v>82</v>
      </c>
      <c r="C12" s="14">
        <v>2007</v>
      </c>
      <c r="D12" s="15" t="s">
        <v>83</v>
      </c>
      <c r="E12" s="15" t="s">
        <v>84</v>
      </c>
      <c r="F12" s="16">
        <v>700</v>
      </c>
      <c r="G12" s="17">
        <v>65000</v>
      </c>
      <c r="H12" s="15" t="s">
        <v>85</v>
      </c>
      <c r="I12" s="15" t="s">
        <v>86</v>
      </c>
      <c r="J12" s="15" t="s">
        <v>87</v>
      </c>
      <c r="K12" s="18" t="s">
        <v>88</v>
      </c>
    </row>
    <row r="13" spans="1:11" ht="34.049999999999997" customHeight="1" x14ac:dyDescent="0.3">
      <c r="A13" s="5">
        <v>9</v>
      </c>
      <c r="B13" s="6" t="s">
        <v>89</v>
      </c>
      <c r="C13" s="7">
        <v>2016</v>
      </c>
      <c r="D13" s="8" t="s">
        <v>71</v>
      </c>
      <c r="E13" s="8" t="s">
        <v>90</v>
      </c>
      <c r="F13" s="9">
        <v>600</v>
      </c>
      <c r="G13" s="10">
        <v>25000</v>
      </c>
      <c r="H13" s="8" t="s">
        <v>91</v>
      </c>
      <c r="I13" s="8" t="s">
        <v>92</v>
      </c>
      <c r="J13" s="8" t="s">
        <v>93</v>
      </c>
      <c r="K13" s="11" t="s">
        <v>94</v>
      </c>
    </row>
    <row r="14" spans="1:11" ht="34.049999999999997" customHeight="1" x14ac:dyDescent="0.3">
      <c r="A14" s="12">
        <v>10</v>
      </c>
      <c r="B14" s="13" t="s">
        <v>95</v>
      </c>
      <c r="C14" s="14">
        <v>2018</v>
      </c>
      <c r="D14" s="15" t="s">
        <v>50</v>
      </c>
      <c r="E14" s="15" t="s">
        <v>37</v>
      </c>
      <c r="F14" s="16">
        <v>550</v>
      </c>
      <c r="G14" s="17">
        <v>30000</v>
      </c>
      <c r="H14" s="15" t="s">
        <v>96</v>
      </c>
      <c r="I14" s="15" t="s">
        <v>97</v>
      </c>
      <c r="J14" s="15" t="s">
        <v>98</v>
      </c>
      <c r="K14" s="18" t="s">
        <v>99</v>
      </c>
    </row>
    <row r="15" spans="1:11" ht="34.049999999999997" customHeight="1" x14ac:dyDescent="0.3">
      <c r="A15" s="5">
        <v>11</v>
      </c>
      <c r="B15" s="6" t="s">
        <v>100</v>
      </c>
      <c r="C15" s="7">
        <v>1992</v>
      </c>
      <c r="D15" s="8" t="s">
        <v>101</v>
      </c>
      <c r="E15" s="8" t="s">
        <v>102</v>
      </c>
      <c r="F15" s="9">
        <v>500</v>
      </c>
      <c r="G15" s="10">
        <v>120000</v>
      </c>
      <c r="H15" s="8" t="s">
        <v>103</v>
      </c>
      <c r="I15" s="8" t="s">
        <v>104</v>
      </c>
      <c r="J15" s="8" t="s">
        <v>105</v>
      </c>
      <c r="K15" s="11" t="s">
        <v>106</v>
      </c>
    </row>
    <row r="16" spans="1:11" ht="34.049999999999997" customHeight="1" x14ac:dyDescent="0.3">
      <c r="A16" s="12">
        <v>12</v>
      </c>
      <c r="B16" s="13" t="s">
        <v>107</v>
      </c>
      <c r="C16" s="14">
        <v>2000</v>
      </c>
      <c r="D16" s="15" t="s">
        <v>108</v>
      </c>
      <c r="E16" s="15" t="s">
        <v>109</v>
      </c>
      <c r="F16" s="16">
        <v>450</v>
      </c>
      <c r="G16" s="17">
        <v>75000</v>
      </c>
      <c r="H16" s="15" t="s">
        <v>110</v>
      </c>
      <c r="I16" s="15" t="s">
        <v>111</v>
      </c>
      <c r="J16" s="15" t="s">
        <v>112</v>
      </c>
      <c r="K16" s="18" t="s">
        <v>113</v>
      </c>
    </row>
    <row r="17" spans="1:11" ht="34.049999999999997" customHeight="1" x14ac:dyDescent="0.3">
      <c r="A17" s="5">
        <v>13</v>
      </c>
      <c r="B17" s="6" t="s">
        <v>114</v>
      </c>
      <c r="C17" s="7">
        <v>2009</v>
      </c>
      <c r="D17" s="8" t="s">
        <v>115</v>
      </c>
      <c r="E17" s="8" t="s">
        <v>116</v>
      </c>
      <c r="F17" s="9">
        <v>420</v>
      </c>
      <c r="G17" s="10">
        <v>80000</v>
      </c>
      <c r="H17" s="8" t="s">
        <v>117</v>
      </c>
      <c r="I17" s="8" t="s">
        <v>118</v>
      </c>
      <c r="J17" s="8" t="s">
        <v>119</v>
      </c>
      <c r="K17" s="11" t="s">
        <v>120</v>
      </c>
    </row>
    <row r="18" spans="1:11" ht="34.049999999999997" customHeight="1" x14ac:dyDescent="0.3">
      <c r="A18" s="12">
        <v>14</v>
      </c>
      <c r="B18" s="13" t="s">
        <v>121</v>
      </c>
      <c r="C18" s="14">
        <v>2009</v>
      </c>
      <c r="D18" s="15" t="s">
        <v>57</v>
      </c>
      <c r="E18" s="15" t="s">
        <v>122</v>
      </c>
      <c r="F18" s="16">
        <v>400</v>
      </c>
      <c r="G18" s="17">
        <v>60000</v>
      </c>
      <c r="H18" s="15" t="s">
        <v>123</v>
      </c>
      <c r="I18" s="15" t="s">
        <v>124</v>
      </c>
      <c r="J18" s="15" t="s">
        <v>125</v>
      </c>
      <c r="K18" s="18" t="s">
        <v>126</v>
      </c>
    </row>
    <row r="19" spans="1:11" ht="34.049999999999997" customHeight="1" x14ac:dyDescent="0.3">
      <c r="A19" s="5">
        <v>15</v>
      </c>
      <c r="B19" s="6" t="s">
        <v>127</v>
      </c>
      <c r="C19" s="7">
        <v>2013</v>
      </c>
      <c r="D19" s="8" t="s">
        <v>128</v>
      </c>
      <c r="E19" s="8" t="s">
        <v>129</v>
      </c>
      <c r="F19" s="9">
        <v>380</v>
      </c>
      <c r="G19" s="10">
        <v>1200000</v>
      </c>
      <c r="H19" s="8" t="s">
        <v>130</v>
      </c>
      <c r="I19" s="8" t="s">
        <v>131</v>
      </c>
      <c r="J19" s="8" t="s">
        <v>132</v>
      </c>
      <c r="K19" s="11" t="s">
        <v>133</v>
      </c>
    </row>
    <row r="20" spans="1:11" ht="34.049999999999997" customHeight="1" x14ac:dyDescent="0.3">
      <c r="A20" s="12">
        <v>16</v>
      </c>
      <c r="B20" s="13" t="s">
        <v>134</v>
      </c>
      <c r="C20" s="14">
        <v>2001</v>
      </c>
      <c r="D20" s="15" t="s">
        <v>128</v>
      </c>
      <c r="E20" s="15" t="s">
        <v>135</v>
      </c>
      <c r="F20" s="16">
        <v>380</v>
      </c>
      <c r="G20" s="17">
        <v>20000</v>
      </c>
      <c r="H20" s="15" t="s">
        <v>136</v>
      </c>
      <c r="I20" s="15" t="s">
        <v>137</v>
      </c>
      <c r="J20" s="15" t="s">
        <v>138</v>
      </c>
      <c r="K20" s="18" t="s">
        <v>139</v>
      </c>
    </row>
    <row r="21" spans="1:11" ht="34.049999999999997" customHeight="1" x14ac:dyDescent="0.3">
      <c r="A21" s="5">
        <v>17</v>
      </c>
      <c r="B21" s="6" t="s">
        <v>140</v>
      </c>
      <c r="C21" s="7">
        <v>2008</v>
      </c>
      <c r="D21" s="8" t="s">
        <v>141</v>
      </c>
      <c r="E21" s="8" t="s">
        <v>142</v>
      </c>
      <c r="F21" s="9">
        <v>350</v>
      </c>
      <c r="G21" s="10">
        <v>60000</v>
      </c>
      <c r="H21" s="8" t="s">
        <v>143</v>
      </c>
      <c r="I21" s="8" t="s">
        <v>144</v>
      </c>
      <c r="J21" s="8" t="s">
        <v>145</v>
      </c>
      <c r="K21" s="11" t="s">
        <v>146</v>
      </c>
    </row>
    <row r="22" spans="1:11" ht="34.049999999999997" customHeight="1" x14ac:dyDescent="0.3">
      <c r="A22" s="12">
        <v>18</v>
      </c>
      <c r="B22" s="13" t="s">
        <v>147</v>
      </c>
      <c r="C22" s="14">
        <v>2017</v>
      </c>
      <c r="D22" s="15" t="s">
        <v>148</v>
      </c>
      <c r="E22" s="15" t="s">
        <v>149</v>
      </c>
      <c r="F22" s="16">
        <v>320</v>
      </c>
      <c r="G22" s="17">
        <v>30000</v>
      </c>
      <c r="H22" s="15" t="s">
        <v>150</v>
      </c>
      <c r="I22" s="15" t="s">
        <v>151</v>
      </c>
      <c r="J22" s="15" t="s">
        <v>152</v>
      </c>
      <c r="K22" s="18" t="s">
        <v>153</v>
      </c>
    </row>
    <row r="23" spans="1:11" ht="34.049999999999997" customHeight="1" x14ac:dyDescent="0.3">
      <c r="A23" s="5">
        <v>19</v>
      </c>
      <c r="B23" s="6" t="s">
        <v>154</v>
      </c>
      <c r="C23" s="7">
        <v>2016</v>
      </c>
      <c r="D23" s="8" t="s">
        <v>155</v>
      </c>
      <c r="E23" s="8" t="s">
        <v>156</v>
      </c>
      <c r="F23" s="9">
        <v>310</v>
      </c>
      <c r="G23" s="10">
        <v>25000</v>
      </c>
      <c r="H23" s="8" t="s">
        <v>157</v>
      </c>
      <c r="I23" s="8" t="s">
        <v>158</v>
      </c>
      <c r="J23" s="8" t="s">
        <v>159</v>
      </c>
      <c r="K23" s="11" t="s">
        <v>160</v>
      </c>
    </row>
    <row r="24" spans="1:11" ht="34.049999999999997" customHeight="1" x14ac:dyDescent="0.3">
      <c r="A24" s="12">
        <v>20</v>
      </c>
      <c r="B24" s="13" t="s">
        <v>161</v>
      </c>
      <c r="C24" s="14">
        <v>2004</v>
      </c>
      <c r="D24" s="15" t="s">
        <v>162</v>
      </c>
      <c r="E24" s="15" t="s">
        <v>163</v>
      </c>
      <c r="F24" s="16">
        <v>250</v>
      </c>
      <c r="G24" s="17">
        <v>50000</v>
      </c>
      <c r="H24" s="15" t="s">
        <v>164</v>
      </c>
      <c r="I24" s="15" t="s">
        <v>165</v>
      </c>
      <c r="J24" s="15" t="s">
        <v>166</v>
      </c>
      <c r="K24" s="18" t="s">
        <v>167</v>
      </c>
    </row>
    <row r="25" spans="1:11" ht="25.95" customHeight="1" x14ac:dyDescent="0.3">
      <c r="A25" s="19"/>
      <c r="B25" s="19" t="s">
        <v>168</v>
      </c>
      <c r="C25" s="19"/>
      <c r="D25" s="19"/>
      <c r="E25" s="19"/>
      <c r="F25" s="20">
        <f>SUM(F5:F24)</f>
        <v>21850</v>
      </c>
      <c r="G25" s="21">
        <f>SUM(G5:G24)</f>
        <v>3257689</v>
      </c>
      <c r="H25" s="19"/>
      <c r="I25" s="19"/>
      <c r="J25" s="19"/>
      <c r="K25" s="19"/>
    </row>
  </sheetData>
  <autoFilter ref="A4:K24" xr:uid="{00000000-0009-0000-0000-000001000000}"/>
  <mergeCells count="2">
    <mergeCell ref="A2:K2"/>
    <mergeCell ref="A1:K1"/>
  </mergeCells>
  <hyperlinks>
    <hyperlink ref="K5" r:id="rId1" xr:uid="{00000000-0004-0000-0100-000000000000}"/>
    <hyperlink ref="K6" r:id="rId2" xr:uid="{00000000-0004-0000-0100-000001000000}"/>
    <hyperlink ref="K7" r:id="rId3" xr:uid="{00000000-0004-0000-0100-000002000000}"/>
    <hyperlink ref="K8" r:id="rId4" xr:uid="{00000000-0004-0000-0100-000003000000}"/>
    <hyperlink ref="K9" r:id="rId5" xr:uid="{00000000-0004-0000-0100-000004000000}"/>
    <hyperlink ref="K10" r:id="rId6" xr:uid="{00000000-0004-0000-0100-000005000000}"/>
    <hyperlink ref="K11" r:id="rId7" xr:uid="{00000000-0004-0000-0100-000006000000}"/>
    <hyperlink ref="K12" r:id="rId8" xr:uid="{00000000-0004-0000-0100-000007000000}"/>
    <hyperlink ref="K13" r:id="rId9" xr:uid="{00000000-0004-0000-0100-000008000000}"/>
    <hyperlink ref="K14" r:id="rId10" xr:uid="{00000000-0004-0000-0100-000009000000}"/>
    <hyperlink ref="K15" r:id="rId11" xr:uid="{00000000-0004-0000-0100-00000A000000}"/>
    <hyperlink ref="K16" r:id="rId12" xr:uid="{00000000-0004-0000-0100-00000B000000}"/>
    <hyperlink ref="K17" r:id="rId13" xr:uid="{00000000-0004-0000-0100-00000C000000}"/>
    <hyperlink ref="K18" r:id="rId14" xr:uid="{00000000-0004-0000-0100-00000D000000}"/>
    <hyperlink ref="K19" r:id="rId15" xr:uid="{00000000-0004-0000-0100-00000E000000}"/>
    <hyperlink ref="K20" r:id="rId16" xr:uid="{00000000-0004-0000-0100-00000F000000}"/>
    <hyperlink ref="K21" r:id="rId17" xr:uid="{00000000-0004-0000-0100-000010000000}"/>
    <hyperlink ref="K22" r:id="rId18" xr:uid="{00000000-0004-0000-0100-000011000000}"/>
    <hyperlink ref="K23" r:id="rId19" xr:uid="{00000000-0004-0000-0100-000012000000}"/>
    <hyperlink ref="K24" r:id="rId20" xr:uid="{00000000-0004-0000-0100-000013000000}"/>
  </hyperlinks>
  <pageMargins left="0.75" right="0.75" top="1" bottom="1" header="0.5" footer="0.5"/>
  <pageSetup paperSize="9" fitToHeight="0" orientation="landscape"/>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5"/>
  <sheetViews>
    <sheetView workbookViewId="0">
      <pane xSplit="2" ySplit="4" topLeftCell="C5" activePane="bottomRight" state="frozen"/>
      <selection pane="topRight"/>
      <selection pane="bottomLeft"/>
      <selection pane="bottomRight" sqref="A1:K1"/>
    </sheetView>
  </sheetViews>
  <sheetFormatPr defaultRowHeight="14.4" x14ac:dyDescent="0.3"/>
  <cols>
    <col min="1" max="1" width="11" customWidth="1"/>
    <col min="2" max="2" width="34" customWidth="1"/>
    <col min="3" max="3" width="11" customWidth="1"/>
    <col min="4" max="5" width="26" customWidth="1"/>
    <col min="6" max="7" width="23" customWidth="1"/>
    <col min="8" max="8" width="34" customWidth="1"/>
    <col min="9" max="9" width="38" customWidth="1"/>
    <col min="10" max="10" width="18" customWidth="1"/>
    <col min="11" max="11" width="30" customWidth="1"/>
  </cols>
  <sheetData>
    <row r="1" spans="1:11" ht="30" customHeight="1" x14ac:dyDescent="0.3">
      <c r="A1" s="40" t="s">
        <v>169</v>
      </c>
      <c r="B1" s="36"/>
      <c r="C1" s="36"/>
      <c r="D1" s="36"/>
      <c r="E1" s="36"/>
      <c r="F1" s="36"/>
      <c r="G1" s="36"/>
      <c r="H1" s="36"/>
      <c r="I1" s="36"/>
      <c r="J1" s="36"/>
      <c r="K1" s="36"/>
    </row>
    <row r="2" spans="1:11" ht="19.95" customHeight="1" x14ac:dyDescent="0.3">
      <c r="A2" s="35" t="s">
        <v>170</v>
      </c>
      <c r="B2" s="36"/>
      <c r="C2" s="36"/>
      <c r="D2" s="36"/>
      <c r="E2" s="36"/>
      <c r="F2" s="36"/>
      <c r="G2" s="36"/>
      <c r="H2" s="36"/>
      <c r="I2" s="36"/>
      <c r="J2" s="36"/>
      <c r="K2" s="36"/>
    </row>
    <row r="3" spans="1:11" ht="10.050000000000001" customHeight="1" x14ac:dyDescent="0.3"/>
    <row r="4" spans="1:11" ht="28.05" customHeight="1" x14ac:dyDescent="0.3">
      <c r="A4" s="3" t="s">
        <v>171</v>
      </c>
      <c r="B4" s="4" t="s">
        <v>25</v>
      </c>
      <c r="C4" s="3" t="s">
        <v>26</v>
      </c>
      <c r="D4" s="4" t="s">
        <v>27</v>
      </c>
      <c r="E4" s="4" t="s">
        <v>28</v>
      </c>
      <c r="F4" s="3" t="s">
        <v>172</v>
      </c>
      <c r="G4" s="3" t="s">
        <v>173</v>
      </c>
      <c r="H4" s="4" t="s">
        <v>31</v>
      </c>
      <c r="I4" s="4" t="s">
        <v>174</v>
      </c>
      <c r="J4" s="3" t="s">
        <v>29</v>
      </c>
      <c r="K4" s="4" t="s">
        <v>34</v>
      </c>
    </row>
    <row r="5" spans="1:11" ht="34.049999999999997" customHeight="1" x14ac:dyDescent="0.3">
      <c r="A5" s="5">
        <v>1</v>
      </c>
      <c r="B5" s="6" t="s">
        <v>70</v>
      </c>
      <c r="C5" s="7">
        <v>2002</v>
      </c>
      <c r="D5" s="8" t="s">
        <v>71</v>
      </c>
      <c r="E5" s="8" t="s">
        <v>175</v>
      </c>
      <c r="F5" s="22">
        <v>45000</v>
      </c>
      <c r="G5" s="22">
        <v>8500</v>
      </c>
      <c r="H5" s="8" t="s">
        <v>176</v>
      </c>
      <c r="I5" s="8" t="s">
        <v>177</v>
      </c>
      <c r="J5" s="23">
        <v>1000</v>
      </c>
      <c r="K5" s="11" t="s">
        <v>76</v>
      </c>
    </row>
    <row r="6" spans="1:11" ht="34.049999999999997" customHeight="1" x14ac:dyDescent="0.3">
      <c r="A6" s="12">
        <v>2</v>
      </c>
      <c r="B6" s="13" t="s">
        <v>127</v>
      </c>
      <c r="C6" s="14">
        <v>2013</v>
      </c>
      <c r="D6" s="15" t="s">
        <v>128</v>
      </c>
      <c r="E6" s="15" t="s">
        <v>129</v>
      </c>
      <c r="F6" s="24">
        <v>40000</v>
      </c>
      <c r="G6" s="24">
        <v>7500</v>
      </c>
      <c r="H6" s="15" t="s">
        <v>178</v>
      </c>
      <c r="I6" s="15" t="s">
        <v>179</v>
      </c>
      <c r="J6" s="25">
        <v>380</v>
      </c>
      <c r="K6" s="18" t="s">
        <v>133</v>
      </c>
    </row>
    <row r="7" spans="1:11" ht="34.049999999999997" customHeight="1" x14ac:dyDescent="0.3">
      <c r="A7" s="5">
        <v>3</v>
      </c>
      <c r="B7" s="6" t="s">
        <v>56</v>
      </c>
      <c r="C7" s="7">
        <v>2000</v>
      </c>
      <c r="D7" s="8" t="s">
        <v>57</v>
      </c>
      <c r="E7" s="8" t="s">
        <v>58</v>
      </c>
      <c r="F7" s="22">
        <v>38000</v>
      </c>
      <c r="G7" s="22">
        <v>7000</v>
      </c>
      <c r="H7" s="8" t="s">
        <v>180</v>
      </c>
      <c r="I7" s="8" t="s">
        <v>181</v>
      </c>
      <c r="J7" s="23">
        <v>1500</v>
      </c>
      <c r="K7" s="11" t="s">
        <v>62</v>
      </c>
    </row>
    <row r="8" spans="1:11" ht="34.049999999999997" customHeight="1" x14ac:dyDescent="0.3">
      <c r="A8" s="12">
        <v>4</v>
      </c>
      <c r="B8" s="13" t="s">
        <v>49</v>
      </c>
      <c r="C8" s="14">
        <v>2015</v>
      </c>
      <c r="D8" s="15" t="s">
        <v>50</v>
      </c>
      <c r="E8" s="15" t="s">
        <v>51</v>
      </c>
      <c r="F8" s="24">
        <v>32000</v>
      </c>
      <c r="G8" s="24">
        <v>6500</v>
      </c>
      <c r="H8" s="15" t="s">
        <v>182</v>
      </c>
      <c r="I8" s="15" t="s">
        <v>183</v>
      </c>
      <c r="J8" s="25">
        <v>2000</v>
      </c>
      <c r="K8" s="18" t="s">
        <v>55</v>
      </c>
    </row>
    <row r="9" spans="1:11" ht="34.049999999999997" customHeight="1" x14ac:dyDescent="0.3">
      <c r="A9" s="5">
        <v>5</v>
      </c>
      <c r="B9" s="6" t="s">
        <v>161</v>
      </c>
      <c r="C9" s="7">
        <v>2004</v>
      </c>
      <c r="D9" s="8" t="s">
        <v>162</v>
      </c>
      <c r="E9" s="8" t="s">
        <v>163</v>
      </c>
      <c r="F9" s="22">
        <v>25000</v>
      </c>
      <c r="G9" s="22">
        <v>4500</v>
      </c>
      <c r="H9" s="8" t="s">
        <v>184</v>
      </c>
      <c r="I9" s="8" t="s">
        <v>185</v>
      </c>
      <c r="J9" s="23">
        <v>250</v>
      </c>
      <c r="K9" s="11" t="s">
        <v>167</v>
      </c>
    </row>
    <row r="10" spans="1:11" ht="34.049999999999997" customHeight="1" x14ac:dyDescent="0.3">
      <c r="A10" s="12">
        <v>6</v>
      </c>
      <c r="B10" s="13" t="s">
        <v>186</v>
      </c>
      <c r="C10" s="14">
        <v>2016</v>
      </c>
      <c r="D10" s="15" t="s">
        <v>162</v>
      </c>
      <c r="E10" s="15" t="s">
        <v>187</v>
      </c>
      <c r="F10" s="24">
        <v>22000</v>
      </c>
      <c r="G10" s="24">
        <v>4000</v>
      </c>
      <c r="H10" s="15" t="s">
        <v>188</v>
      </c>
      <c r="I10" s="15" t="s">
        <v>189</v>
      </c>
      <c r="J10" s="25">
        <v>300</v>
      </c>
      <c r="K10" s="18" t="s">
        <v>190</v>
      </c>
    </row>
    <row r="11" spans="1:11" ht="34.049999999999997" customHeight="1" x14ac:dyDescent="0.3">
      <c r="A11" s="5">
        <v>7</v>
      </c>
      <c r="B11" s="6" t="s">
        <v>42</v>
      </c>
      <c r="C11" s="7">
        <v>2013</v>
      </c>
      <c r="D11" s="8" t="s">
        <v>191</v>
      </c>
      <c r="E11" s="8" t="s">
        <v>44</v>
      </c>
      <c r="F11" s="22">
        <v>20000</v>
      </c>
      <c r="G11" s="22">
        <v>3800</v>
      </c>
      <c r="H11" s="8" t="s">
        <v>192</v>
      </c>
      <c r="I11" s="8" t="s">
        <v>193</v>
      </c>
      <c r="J11" s="23">
        <v>3500</v>
      </c>
      <c r="K11" s="11" t="s">
        <v>48</v>
      </c>
    </row>
    <row r="12" spans="1:11" ht="34.049999999999997" customHeight="1" x14ac:dyDescent="0.3">
      <c r="A12" s="12">
        <v>8</v>
      </c>
      <c r="B12" s="13" t="s">
        <v>100</v>
      </c>
      <c r="C12" s="14">
        <v>1992</v>
      </c>
      <c r="D12" s="15" t="s">
        <v>101</v>
      </c>
      <c r="E12" s="15" t="s">
        <v>102</v>
      </c>
      <c r="F12" s="24">
        <v>14000</v>
      </c>
      <c r="G12" s="24">
        <v>2500</v>
      </c>
      <c r="H12" s="15" t="s">
        <v>194</v>
      </c>
      <c r="I12" s="15" t="s">
        <v>195</v>
      </c>
      <c r="J12" s="25">
        <v>500</v>
      </c>
      <c r="K12" s="18" t="s">
        <v>106</v>
      </c>
    </row>
    <row r="13" spans="1:11" ht="34.049999999999997" customHeight="1" x14ac:dyDescent="0.3">
      <c r="A13" s="5">
        <v>9</v>
      </c>
      <c r="B13" s="6" t="s">
        <v>196</v>
      </c>
      <c r="C13" s="7">
        <v>2014</v>
      </c>
      <c r="D13" s="8" t="s">
        <v>57</v>
      </c>
      <c r="E13" s="8" t="s">
        <v>187</v>
      </c>
      <c r="F13" s="22">
        <v>12500</v>
      </c>
      <c r="G13" s="22">
        <v>2200</v>
      </c>
      <c r="H13" s="8" t="s">
        <v>197</v>
      </c>
      <c r="I13" s="8" t="s">
        <v>198</v>
      </c>
      <c r="J13" s="23">
        <v>200</v>
      </c>
      <c r="K13" s="11" t="s">
        <v>199</v>
      </c>
    </row>
    <row r="14" spans="1:11" ht="34.049999999999997" customHeight="1" x14ac:dyDescent="0.3">
      <c r="A14" s="12">
        <v>10</v>
      </c>
      <c r="B14" s="13" t="s">
        <v>121</v>
      </c>
      <c r="C14" s="14">
        <v>2009</v>
      </c>
      <c r="D14" s="15" t="s">
        <v>57</v>
      </c>
      <c r="E14" s="15" t="s">
        <v>122</v>
      </c>
      <c r="F14" s="24">
        <v>10000</v>
      </c>
      <c r="G14" s="24">
        <v>2000</v>
      </c>
      <c r="H14" s="15" t="s">
        <v>200</v>
      </c>
      <c r="I14" s="15" t="s">
        <v>201</v>
      </c>
      <c r="J14" s="25">
        <v>400</v>
      </c>
      <c r="K14" s="18" t="s">
        <v>126</v>
      </c>
    </row>
    <row r="15" spans="1:11" ht="34.049999999999997" customHeight="1" x14ac:dyDescent="0.3">
      <c r="A15" s="5">
        <v>11</v>
      </c>
      <c r="B15" s="6" t="s">
        <v>63</v>
      </c>
      <c r="C15" s="7">
        <v>1999</v>
      </c>
      <c r="D15" s="8" t="s">
        <v>64</v>
      </c>
      <c r="E15" s="8" t="s">
        <v>65</v>
      </c>
      <c r="F15" s="22">
        <v>9500</v>
      </c>
      <c r="G15" s="22">
        <v>1800</v>
      </c>
      <c r="H15" s="8" t="s">
        <v>202</v>
      </c>
      <c r="I15" s="8" t="s">
        <v>203</v>
      </c>
      <c r="J15" s="23">
        <v>1400</v>
      </c>
      <c r="K15" s="11" t="s">
        <v>69</v>
      </c>
    </row>
    <row r="16" spans="1:11" ht="34.049999999999997" customHeight="1" x14ac:dyDescent="0.3">
      <c r="A16" s="12">
        <v>12</v>
      </c>
      <c r="B16" s="13" t="s">
        <v>107</v>
      </c>
      <c r="C16" s="14">
        <v>2000</v>
      </c>
      <c r="D16" s="15" t="s">
        <v>108</v>
      </c>
      <c r="E16" s="15" t="s">
        <v>109</v>
      </c>
      <c r="F16" s="24">
        <v>8500</v>
      </c>
      <c r="G16" s="24">
        <v>1500</v>
      </c>
      <c r="H16" s="15" t="s">
        <v>204</v>
      </c>
      <c r="I16" s="15" t="s">
        <v>205</v>
      </c>
      <c r="J16" s="25">
        <v>450</v>
      </c>
      <c r="K16" s="18" t="s">
        <v>113</v>
      </c>
    </row>
    <row r="17" spans="1:11" ht="34.049999999999997" customHeight="1" x14ac:dyDescent="0.3">
      <c r="A17" s="5">
        <v>13</v>
      </c>
      <c r="B17" s="6" t="s">
        <v>206</v>
      </c>
      <c r="C17" s="7">
        <v>2016</v>
      </c>
      <c r="D17" s="8" t="s">
        <v>57</v>
      </c>
      <c r="E17" s="8" t="s">
        <v>207</v>
      </c>
      <c r="F17" s="22">
        <v>7500</v>
      </c>
      <c r="G17" s="22">
        <v>1400</v>
      </c>
      <c r="H17" s="8" t="s">
        <v>208</v>
      </c>
      <c r="I17" s="8" t="s">
        <v>209</v>
      </c>
      <c r="J17" s="23">
        <v>250</v>
      </c>
      <c r="K17" s="11" t="s">
        <v>210</v>
      </c>
    </row>
    <row r="18" spans="1:11" ht="34.049999999999997" customHeight="1" x14ac:dyDescent="0.3">
      <c r="A18" s="12">
        <v>14</v>
      </c>
      <c r="B18" s="13" t="s">
        <v>35</v>
      </c>
      <c r="C18" s="14">
        <v>2006</v>
      </c>
      <c r="D18" s="15" t="s">
        <v>36</v>
      </c>
      <c r="E18" s="15" t="s">
        <v>37</v>
      </c>
      <c r="F18" s="24">
        <v>7000</v>
      </c>
      <c r="G18" s="24">
        <v>1200</v>
      </c>
      <c r="H18" s="15" t="s">
        <v>211</v>
      </c>
      <c r="I18" s="15" t="s">
        <v>212</v>
      </c>
      <c r="J18" s="25">
        <v>6000</v>
      </c>
      <c r="K18" s="18" t="s">
        <v>41</v>
      </c>
    </row>
    <row r="19" spans="1:11" ht="34.049999999999997" customHeight="1" x14ac:dyDescent="0.3">
      <c r="A19" s="5">
        <v>15</v>
      </c>
      <c r="B19" s="6" t="s">
        <v>213</v>
      </c>
      <c r="C19" s="7">
        <v>2008</v>
      </c>
      <c r="D19" s="8" t="s">
        <v>50</v>
      </c>
      <c r="E19" s="8" t="s">
        <v>214</v>
      </c>
      <c r="F19" s="22">
        <v>6200</v>
      </c>
      <c r="G19" s="22">
        <v>1100</v>
      </c>
      <c r="H19" s="8" t="s">
        <v>215</v>
      </c>
      <c r="I19" s="8" t="s">
        <v>216</v>
      </c>
      <c r="J19" s="23">
        <v>200</v>
      </c>
      <c r="K19" s="11" t="s">
        <v>217</v>
      </c>
    </row>
    <row r="20" spans="1:11" ht="34.049999999999997" customHeight="1" x14ac:dyDescent="0.3">
      <c r="A20" s="12">
        <v>16</v>
      </c>
      <c r="B20" s="13" t="s">
        <v>134</v>
      </c>
      <c r="C20" s="14">
        <v>2001</v>
      </c>
      <c r="D20" s="15" t="s">
        <v>128</v>
      </c>
      <c r="E20" s="15" t="s">
        <v>135</v>
      </c>
      <c r="F20" s="24">
        <v>5800</v>
      </c>
      <c r="G20" s="24">
        <v>1050</v>
      </c>
      <c r="H20" s="15" t="s">
        <v>218</v>
      </c>
      <c r="I20" s="15" t="s">
        <v>219</v>
      </c>
      <c r="J20" s="25">
        <v>380</v>
      </c>
      <c r="K20" s="18" t="s">
        <v>139</v>
      </c>
    </row>
    <row r="21" spans="1:11" ht="34.049999999999997" customHeight="1" x14ac:dyDescent="0.3">
      <c r="A21" s="5">
        <v>17</v>
      </c>
      <c r="B21" s="6" t="s">
        <v>220</v>
      </c>
      <c r="C21" s="7">
        <v>2014</v>
      </c>
      <c r="D21" s="8" t="s">
        <v>162</v>
      </c>
      <c r="E21" s="8" t="s">
        <v>221</v>
      </c>
      <c r="F21" s="22">
        <v>5000</v>
      </c>
      <c r="G21" s="22">
        <v>900</v>
      </c>
      <c r="H21" s="8" t="s">
        <v>222</v>
      </c>
      <c r="I21" s="8" t="s">
        <v>223</v>
      </c>
      <c r="J21" s="23">
        <v>220</v>
      </c>
      <c r="K21" s="11" t="s">
        <v>224</v>
      </c>
    </row>
    <row r="22" spans="1:11" ht="34.049999999999997" customHeight="1" x14ac:dyDescent="0.3">
      <c r="A22" s="12">
        <v>18</v>
      </c>
      <c r="B22" s="13" t="s">
        <v>82</v>
      </c>
      <c r="C22" s="14">
        <v>2007</v>
      </c>
      <c r="D22" s="15" t="s">
        <v>83</v>
      </c>
      <c r="E22" s="15" t="s">
        <v>84</v>
      </c>
      <c r="F22" s="24">
        <v>4500</v>
      </c>
      <c r="G22" s="24">
        <v>850</v>
      </c>
      <c r="H22" s="15" t="s">
        <v>225</v>
      </c>
      <c r="I22" s="15" t="s">
        <v>226</v>
      </c>
      <c r="J22" s="25">
        <v>700</v>
      </c>
      <c r="K22" s="18" t="s">
        <v>88</v>
      </c>
    </row>
    <row r="23" spans="1:11" ht="34.049999999999997" customHeight="1" x14ac:dyDescent="0.3">
      <c r="A23" s="5">
        <v>19</v>
      </c>
      <c r="B23" s="6" t="s">
        <v>227</v>
      </c>
      <c r="C23" s="7">
        <v>1991</v>
      </c>
      <c r="D23" s="8" t="s">
        <v>57</v>
      </c>
      <c r="E23" s="8" t="s">
        <v>228</v>
      </c>
      <c r="F23" s="22">
        <v>4200</v>
      </c>
      <c r="G23" s="22">
        <v>800</v>
      </c>
      <c r="H23" s="8" t="s">
        <v>229</v>
      </c>
      <c r="I23" s="8" t="s">
        <v>230</v>
      </c>
      <c r="J23" s="23">
        <v>180</v>
      </c>
      <c r="K23" s="11" t="s">
        <v>231</v>
      </c>
    </row>
    <row r="24" spans="1:11" ht="34.049999999999997" customHeight="1" x14ac:dyDescent="0.3">
      <c r="A24" s="12">
        <v>20</v>
      </c>
      <c r="B24" s="13" t="s">
        <v>232</v>
      </c>
      <c r="C24" s="14">
        <v>2014</v>
      </c>
      <c r="D24" s="15" t="s">
        <v>233</v>
      </c>
      <c r="E24" s="15" t="s">
        <v>234</v>
      </c>
      <c r="F24" s="24">
        <v>3500</v>
      </c>
      <c r="G24" s="24">
        <v>650</v>
      </c>
      <c r="H24" s="15" t="s">
        <v>235</v>
      </c>
      <c r="I24" s="15" t="s">
        <v>236</v>
      </c>
      <c r="J24" s="25">
        <v>220</v>
      </c>
      <c r="K24" s="18" t="s">
        <v>237</v>
      </c>
    </row>
    <row r="25" spans="1:11" ht="25.95" customHeight="1" x14ac:dyDescent="0.3">
      <c r="A25" s="19"/>
      <c r="B25" s="19" t="s">
        <v>238</v>
      </c>
      <c r="C25" s="19"/>
      <c r="D25" s="19"/>
      <c r="E25" s="19"/>
      <c r="F25" s="26">
        <f>SUM(F5:F24)</f>
        <v>320200</v>
      </c>
      <c r="G25" s="26">
        <f>SUM(G5:G24)</f>
        <v>59750</v>
      </c>
      <c r="H25" s="19"/>
      <c r="I25" s="19"/>
      <c r="J25" s="20">
        <f>SUM(J5:J24)</f>
        <v>20030</v>
      </c>
      <c r="K25" s="19"/>
    </row>
  </sheetData>
  <autoFilter ref="A4:K24" xr:uid="{00000000-0009-0000-0000-000002000000}"/>
  <mergeCells count="2">
    <mergeCell ref="A2:K2"/>
    <mergeCell ref="A1:K1"/>
  </mergeCells>
  <hyperlinks>
    <hyperlink ref="K5" r:id="rId1" xr:uid="{00000000-0004-0000-0200-000000000000}"/>
    <hyperlink ref="K6" r:id="rId2" xr:uid="{00000000-0004-0000-0200-000001000000}"/>
    <hyperlink ref="K7" r:id="rId3" xr:uid="{00000000-0004-0000-0200-000002000000}"/>
    <hyperlink ref="K8" r:id="rId4" xr:uid="{00000000-0004-0000-0200-000003000000}"/>
    <hyperlink ref="K9" r:id="rId5" xr:uid="{00000000-0004-0000-0200-000004000000}"/>
    <hyperlink ref="K10" r:id="rId6" xr:uid="{00000000-0004-0000-0200-000005000000}"/>
    <hyperlink ref="K11" r:id="rId7" xr:uid="{00000000-0004-0000-0200-000006000000}"/>
    <hyperlink ref="K12" r:id="rId8" xr:uid="{00000000-0004-0000-0200-000007000000}"/>
    <hyperlink ref="K13" r:id="rId9" xr:uid="{00000000-0004-0000-0200-000008000000}"/>
    <hyperlink ref="K14" r:id="rId10" xr:uid="{00000000-0004-0000-0200-000009000000}"/>
    <hyperlink ref="K15" r:id="rId11" xr:uid="{00000000-0004-0000-0200-00000A000000}"/>
    <hyperlink ref="K16" r:id="rId12" xr:uid="{00000000-0004-0000-0200-00000B000000}"/>
    <hyperlink ref="K17" r:id="rId13" xr:uid="{00000000-0004-0000-0200-00000C000000}"/>
    <hyperlink ref="K18" r:id="rId14" xr:uid="{00000000-0004-0000-0200-00000D000000}"/>
    <hyperlink ref="K19" r:id="rId15" xr:uid="{00000000-0004-0000-0200-00000E000000}"/>
    <hyperlink ref="K20" r:id="rId16" xr:uid="{00000000-0004-0000-0200-00000F000000}"/>
    <hyperlink ref="K21" r:id="rId17" xr:uid="{00000000-0004-0000-0200-000010000000}"/>
    <hyperlink ref="K22" r:id="rId18" xr:uid="{00000000-0004-0000-0200-000011000000}"/>
    <hyperlink ref="K23" r:id="rId19" xr:uid="{00000000-0004-0000-0200-000012000000}"/>
    <hyperlink ref="K24" r:id="rId20" xr:uid="{00000000-0004-0000-0200-000013000000}"/>
  </hyperlinks>
  <pageMargins left="0.75" right="0.75" top="1" bottom="1" header="0.5" footer="0.5"/>
  <pageSetup paperSize="9" fitToHeight="0" orientation="landscape"/>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1"/>
  <sheetViews>
    <sheetView workbookViewId="0">
      <pane xSplit="2" ySplit="4" topLeftCell="C5" activePane="bottomRight" state="frozen"/>
      <selection pane="topRight"/>
      <selection pane="bottomLeft"/>
      <selection pane="bottomRight" sqref="A1:J1"/>
    </sheetView>
  </sheetViews>
  <sheetFormatPr defaultRowHeight="14.4" x14ac:dyDescent="0.3"/>
  <cols>
    <col min="1" max="1" width="8" customWidth="1"/>
    <col min="2" max="2" width="35" customWidth="1"/>
    <col min="3" max="3" width="28" customWidth="1"/>
    <col min="4" max="4" width="11" customWidth="1"/>
    <col min="5" max="5" width="26" customWidth="1"/>
    <col min="6" max="6" width="27" customWidth="1"/>
    <col min="7" max="7" width="17" customWidth="1"/>
    <col min="8" max="8" width="19" customWidth="1"/>
    <col min="9" max="9" width="20" customWidth="1"/>
    <col min="10" max="10" width="25" customWidth="1"/>
  </cols>
  <sheetData>
    <row r="1" spans="1:10" ht="30" customHeight="1" x14ac:dyDescent="0.3">
      <c r="A1" s="40" t="s">
        <v>239</v>
      </c>
      <c r="B1" s="36"/>
      <c r="C1" s="36"/>
      <c r="D1" s="36"/>
      <c r="E1" s="36"/>
      <c r="F1" s="36"/>
      <c r="G1" s="36"/>
      <c r="H1" s="36"/>
      <c r="I1" s="36"/>
      <c r="J1" s="36"/>
    </row>
    <row r="2" spans="1:10" ht="19.95" customHeight="1" x14ac:dyDescent="0.3">
      <c r="A2" s="35" t="s">
        <v>240</v>
      </c>
      <c r="B2" s="36"/>
      <c r="C2" s="36"/>
      <c r="D2" s="36"/>
      <c r="E2" s="36"/>
      <c r="F2" s="36"/>
      <c r="G2" s="36"/>
      <c r="H2" s="36"/>
      <c r="I2" s="36"/>
      <c r="J2" s="36"/>
    </row>
    <row r="3" spans="1:10" ht="10.050000000000001" customHeight="1" x14ac:dyDescent="0.3"/>
    <row r="4" spans="1:10" ht="28.05" customHeight="1" x14ac:dyDescent="0.3">
      <c r="A4" s="3" t="s">
        <v>241</v>
      </c>
      <c r="B4" s="4" t="s">
        <v>25</v>
      </c>
      <c r="C4" s="3" t="s">
        <v>242</v>
      </c>
      <c r="D4" s="3" t="s">
        <v>26</v>
      </c>
      <c r="E4" s="4" t="s">
        <v>27</v>
      </c>
      <c r="F4" s="4" t="s">
        <v>28</v>
      </c>
      <c r="G4" s="3" t="s">
        <v>243</v>
      </c>
      <c r="H4" s="3" t="s">
        <v>244</v>
      </c>
      <c r="I4" s="3" t="s">
        <v>29</v>
      </c>
      <c r="J4" s="3" t="s">
        <v>172</v>
      </c>
    </row>
    <row r="5" spans="1:10" ht="25.95" customHeight="1" x14ac:dyDescent="0.3">
      <c r="A5" s="7">
        <v>1</v>
      </c>
      <c r="B5" s="27" t="s">
        <v>35</v>
      </c>
      <c r="C5" s="28" t="s">
        <v>245</v>
      </c>
      <c r="D5" s="7">
        <v>2006</v>
      </c>
      <c r="E5" s="29" t="s">
        <v>36</v>
      </c>
      <c r="F5" s="29" t="s">
        <v>37</v>
      </c>
      <c r="G5" s="5">
        <v>1</v>
      </c>
      <c r="H5" s="5">
        <v>14</v>
      </c>
      <c r="I5" s="9">
        <v>6000</v>
      </c>
      <c r="J5" s="22">
        <v>7000</v>
      </c>
    </row>
    <row r="6" spans="1:10" ht="25.95" customHeight="1" x14ac:dyDescent="0.3">
      <c r="A6" s="14">
        <v>2</v>
      </c>
      <c r="B6" s="30" t="s">
        <v>42</v>
      </c>
      <c r="C6" s="28" t="s">
        <v>245</v>
      </c>
      <c r="D6" s="14">
        <v>2013</v>
      </c>
      <c r="E6" s="31" t="s">
        <v>43</v>
      </c>
      <c r="F6" s="31" t="s">
        <v>44</v>
      </c>
      <c r="G6" s="12">
        <v>2</v>
      </c>
      <c r="H6" s="12">
        <v>7</v>
      </c>
      <c r="I6" s="16">
        <v>3500</v>
      </c>
      <c r="J6" s="24">
        <v>20000</v>
      </c>
    </row>
    <row r="7" spans="1:10" ht="25.95" customHeight="1" x14ac:dyDescent="0.3">
      <c r="A7" s="7">
        <v>3</v>
      </c>
      <c r="B7" s="27" t="s">
        <v>49</v>
      </c>
      <c r="C7" s="28" t="s">
        <v>245</v>
      </c>
      <c r="D7" s="7">
        <v>2015</v>
      </c>
      <c r="E7" s="29" t="s">
        <v>50</v>
      </c>
      <c r="F7" s="29" t="s">
        <v>51</v>
      </c>
      <c r="G7" s="5">
        <v>3</v>
      </c>
      <c r="H7" s="5">
        <v>4</v>
      </c>
      <c r="I7" s="9">
        <v>2000</v>
      </c>
      <c r="J7" s="22">
        <v>32000</v>
      </c>
    </row>
    <row r="8" spans="1:10" ht="25.95" customHeight="1" x14ac:dyDescent="0.3">
      <c r="A8" s="14">
        <v>4</v>
      </c>
      <c r="B8" s="30" t="s">
        <v>56</v>
      </c>
      <c r="C8" s="28" t="s">
        <v>245</v>
      </c>
      <c r="D8" s="14">
        <v>2000</v>
      </c>
      <c r="E8" s="31" t="s">
        <v>57</v>
      </c>
      <c r="F8" s="31" t="s">
        <v>58</v>
      </c>
      <c r="G8" s="12">
        <v>4</v>
      </c>
      <c r="H8" s="12">
        <v>3</v>
      </c>
      <c r="I8" s="16">
        <v>1500</v>
      </c>
      <c r="J8" s="24">
        <v>38000</v>
      </c>
    </row>
    <row r="9" spans="1:10" ht="25.95" customHeight="1" x14ac:dyDescent="0.3">
      <c r="A9" s="7">
        <v>5</v>
      </c>
      <c r="B9" s="27" t="s">
        <v>63</v>
      </c>
      <c r="C9" s="28" t="s">
        <v>245</v>
      </c>
      <c r="D9" s="7">
        <v>1999</v>
      </c>
      <c r="E9" s="29" t="s">
        <v>64</v>
      </c>
      <c r="F9" s="29" t="s">
        <v>65</v>
      </c>
      <c r="G9" s="5">
        <v>5</v>
      </c>
      <c r="H9" s="5">
        <v>11</v>
      </c>
      <c r="I9" s="9">
        <v>1400</v>
      </c>
      <c r="J9" s="22">
        <v>9500</v>
      </c>
    </row>
    <row r="10" spans="1:10" ht="25.95" customHeight="1" x14ac:dyDescent="0.3">
      <c r="A10" s="14">
        <v>6</v>
      </c>
      <c r="B10" s="30" t="s">
        <v>70</v>
      </c>
      <c r="C10" s="28" t="s">
        <v>245</v>
      </c>
      <c r="D10" s="14">
        <v>2002</v>
      </c>
      <c r="E10" s="31" t="s">
        <v>71</v>
      </c>
      <c r="F10" s="31" t="s">
        <v>72</v>
      </c>
      <c r="G10" s="12">
        <v>6</v>
      </c>
      <c r="H10" s="12">
        <v>1</v>
      </c>
      <c r="I10" s="16">
        <v>1000</v>
      </c>
      <c r="J10" s="24">
        <v>45000</v>
      </c>
    </row>
    <row r="11" spans="1:10" ht="25.95" customHeight="1" x14ac:dyDescent="0.3">
      <c r="A11" s="7">
        <v>7</v>
      </c>
      <c r="B11" s="27" t="s">
        <v>77</v>
      </c>
      <c r="C11" s="32" t="s">
        <v>246</v>
      </c>
      <c r="D11" s="7">
        <v>2019</v>
      </c>
      <c r="E11" s="29" t="s">
        <v>71</v>
      </c>
      <c r="F11" s="29" t="s">
        <v>37</v>
      </c>
      <c r="G11" s="5">
        <v>7</v>
      </c>
      <c r="H11" s="33" t="s">
        <v>247</v>
      </c>
      <c r="I11" s="9">
        <v>840</v>
      </c>
      <c r="J11" s="33" t="s">
        <v>248</v>
      </c>
    </row>
    <row r="12" spans="1:10" ht="25.95" customHeight="1" x14ac:dyDescent="0.3">
      <c r="A12" s="14">
        <v>8</v>
      </c>
      <c r="B12" s="30" t="s">
        <v>82</v>
      </c>
      <c r="C12" s="28" t="s">
        <v>245</v>
      </c>
      <c r="D12" s="14">
        <v>2007</v>
      </c>
      <c r="E12" s="31" t="s">
        <v>83</v>
      </c>
      <c r="F12" s="31" t="s">
        <v>84</v>
      </c>
      <c r="G12" s="12">
        <v>8</v>
      </c>
      <c r="H12" s="12">
        <v>18</v>
      </c>
      <c r="I12" s="16">
        <v>700</v>
      </c>
      <c r="J12" s="24">
        <v>4500</v>
      </c>
    </row>
    <row r="13" spans="1:10" ht="25.95" customHeight="1" x14ac:dyDescent="0.3">
      <c r="A13" s="7">
        <v>9</v>
      </c>
      <c r="B13" s="27" t="s">
        <v>89</v>
      </c>
      <c r="C13" s="32" t="s">
        <v>246</v>
      </c>
      <c r="D13" s="7">
        <v>2016</v>
      </c>
      <c r="E13" s="29" t="s">
        <v>71</v>
      </c>
      <c r="F13" s="29" t="s">
        <v>90</v>
      </c>
      <c r="G13" s="5">
        <v>9</v>
      </c>
      <c r="H13" s="33" t="s">
        <v>247</v>
      </c>
      <c r="I13" s="9">
        <v>600</v>
      </c>
      <c r="J13" s="33" t="s">
        <v>248</v>
      </c>
    </row>
    <row r="14" spans="1:10" ht="25.95" customHeight="1" x14ac:dyDescent="0.3">
      <c r="A14" s="14">
        <v>10</v>
      </c>
      <c r="B14" s="30" t="s">
        <v>95</v>
      </c>
      <c r="C14" s="32" t="s">
        <v>246</v>
      </c>
      <c r="D14" s="14">
        <v>2018</v>
      </c>
      <c r="E14" s="31" t="s">
        <v>50</v>
      </c>
      <c r="F14" s="31" t="s">
        <v>37</v>
      </c>
      <c r="G14" s="12">
        <v>10</v>
      </c>
      <c r="H14" s="34" t="s">
        <v>247</v>
      </c>
      <c r="I14" s="16">
        <v>550</v>
      </c>
      <c r="J14" s="34" t="s">
        <v>248</v>
      </c>
    </row>
    <row r="15" spans="1:10" ht="25.95" customHeight="1" x14ac:dyDescent="0.3">
      <c r="A15" s="7">
        <v>11</v>
      </c>
      <c r="B15" s="27" t="s">
        <v>100</v>
      </c>
      <c r="C15" s="28" t="s">
        <v>245</v>
      </c>
      <c r="D15" s="7">
        <v>1992</v>
      </c>
      <c r="E15" s="29" t="s">
        <v>101</v>
      </c>
      <c r="F15" s="29" t="s">
        <v>102</v>
      </c>
      <c r="G15" s="5">
        <v>11</v>
      </c>
      <c r="H15" s="5">
        <v>8</v>
      </c>
      <c r="I15" s="9">
        <v>500</v>
      </c>
      <c r="J15" s="22">
        <v>14000</v>
      </c>
    </row>
    <row r="16" spans="1:10" ht="25.95" customHeight="1" x14ac:dyDescent="0.3">
      <c r="A16" s="14">
        <v>12</v>
      </c>
      <c r="B16" s="30" t="s">
        <v>107</v>
      </c>
      <c r="C16" s="28" t="s">
        <v>245</v>
      </c>
      <c r="D16" s="14">
        <v>2000</v>
      </c>
      <c r="E16" s="31" t="s">
        <v>108</v>
      </c>
      <c r="F16" s="31" t="s">
        <v>109</v>
      </c>
      <c r="G16" s="12">
        <v>12</v>
      </c>
      <c r="H16" s="12">
        <v>12</v>
      </c>
      <c r="I16" s="16">
        <v>450</v>
      </c>
      <c r="J16" s="24">
        <v>8500</v>
      </c>
    </row>
    <row r="17" spans="1:10" ht="25.95" customHeight="1" x14ac:dyDescent="0.3">
      <c r="A17" s="7">
        <v>13</v>
      </c>
      <c r="B17" s="27" t="s">
        <v>114</v>
      </c>
      <c r="C17" s="32" t="s">
        <v>246</v>
      </c>
      <c r="D17" s="7">
        <v>2009</v>
      </c>
      <c r="E17" s="29" t="s">
        <v>115</v>
      </c>
      <c r="F17" s="29" t="s">
        <v>116</v>
      </c>
      <c r="G17" s="5">
        <v>13</v>
      </c>
      <c r="H17" s="33" t="s">
        <v>247</v>
      </c>
      <c r="I17" s="9">
        <v>420</v>
      </c>
      <c r="J17" s="33" t="s">
        <v>248</v>
      </c>
    </row>
    <row r="18" spans="1:10" ht="25.95" customHeight="1" x14ac:dyDescent="0.3">
      <c r="A18" s="14">
        <v>14</v>
      </c>
      <c r="B18" s="30" t="s">
        <v>121</v>
      </c>
      <c r="C18" s="28" t="s">
        <v>245</v>
      </c>
      <c r="D18" s="14">
        <v>2009</v>
      </c>
      <c r="E18" s="31" t="s">
        <v>57</v>
      </c>
      <c r="F18" s="31" t="s">
        <v>122</v>
      </c>
      <c r="G18" s="12">
        <v>14</v>
      </c>
      <c r="H18" s="12">
        <v>10</v>
      </c>
      <c r="I18" s="16">
        <v>400</v>
      </c>
      <c r="J18" s="24">
        <v>10000</v>
      </c>
    </row>
    <row r="19" spans="1:10" ht="25.95" customHeight="1" x14ac:dyDescent="0.3">
      <c r="A19" s="7">
        <v>15</v>
      </c>
      <c r="B19" s="27" t="s">
        <v>127</v>
      </c>
      <c r="C19" s="28" t="s">
        <v>245</v>
      </c>
      <c r="D19" s="7">
        <v>2013</v>
      </c>
      <c r="E19" s="29" t="s">
        <v>128</v>
      </c>
      <c r="F19" s="29" t="s">
        <v>129</v>
      </c>
      <c r="G19" s="5">
        <v>15</v>
      </c>
      <c r="H19" s="5">
        <v>2</v>
      </c>
      <c r="I19" s="9">
        <v>380</v>
      </c>
      <c r="J19" s="22">
        <v>40000</v>
      </c>
    </row>
    <row r="20" spans="1:10" ht="25.95" customHeight="1" x14ac:dyDescent="0.3">
      <c r="A20" s="14">
        <v>16</v>
      </c>
      <c r="B20" s="30" t="s">
        <v>134</v>
      </c>
      <c r="C20" s="28" t="s">
        <v>245</v>
      </c>
      <c r="D20" s="14">
        <v>2001</v>
      </c>
      <c r="E20" s="31" t="s">
        <v>128</v>
      </c>
      <c r="F20" s="31" t="s">
        <v>135</v>
      </c>
      <c r="G20" s="12">
        <v>16</v>
      </c>
      <c r="H20" s="12">
        <v>16</v>
      </c>
      <c r="I20" s="16">
        <v>380</v>
      </c>
      <c r="J20" s="24">
        <v>5800</v>
      </c>
    </row>
    <row r="21" spans="1:10" ht="25.95" customHeight="1" x14ac:dyDescent="0.3">
      <c r="A21" s="7">
        <v>17</v>
      </c>
      <c r="B21" s="27" t="s">
        <v>140</v>
      </c>
      <c r="C21" s="32" t="s">
        <v>246</v>
      </c>
      <c r="D21" s="7">
        <v>2008</v>
      </c>
      <c r="E21" s="29" t="s">
        <v>141</v>
      </c>
      <c r="F21" s="29" t="s">
        <v>142</v>
      </c>
      <c r="G21" s="5">
        <v>17</v>
      </c>
      <c r="H21" s="33" t="s">
        <v>247</v>
      </c>
      <c r="I21" s="9">
        <v>350</v>
      </c>
      <c r="J21" s="33" t="s">
        <v>248</v>
      </c>
    </row>
    <row r="22" spans="1:10" ht="25.95" customHeight="1" x14ac:dyDescent="0.3">
      <c r="A22" s="14">
        <v>18</v>
      </c>
      <c r="B22" s="30" t="s">
        <v>147</v>
      </c>
      <c r="C22" s="32" t="s">
        <v>246</v>
      </c>
      <c r="D22" s="14">
        <v>2017</v>
      </c>
      <c r="E22" s="31" t="s">
        <v>148</v>
      </c>
      <c r="F22" s="31" t="s">
        <v>149</v>
      </c>
      <c r="G22" s="12">
        <v>18</v>
      </c>
      <c r="H22" s="34" t="s">
        <v>247</v>
      </c>
      <c r="I22" s="16">
        <v>320</v>
      </c>
      <c r="J22" s="34" t="s">
        <v>248</v>
      </c>
    </row>
    <row r="23" spans="1:10" ht="25.95" customHeight="1" x14ac:dyDescent="0.3">
      <c r="A23" s="7">
        <v>19</v>
      </c>
      <c r="B23" s="27" t="s">
        <v>154</v>
      </c>
      <c r="C23" s="32" t="s">
        <v>246</v>
      </c>
      <c r="D23" s="7">
        <v>2016</v>
      </c>
      <c r="E23" s="29" t="s">
        <v>155</v>
      </c>
      <c r="F23" s="29" t="s">
        <v>156</v>
      </c>
      <c r="G23" s="5">
        <v>19</v>
      </c>
      <c r="H23" s="33" t="s">
        <v>247</v>
      </c>
      <c r="I23" s="9">
        <v>310</v>
      </c>
      <c r="J23" s="33" t="s">
        <v>248</v>
      </c>
    </row>
    <row r="24" spans="1:10" ht="25.95" customHeight="1" x14ac:dyDescent="0.3">
      <c r="A24" s="14">
        <v>20</v>
      </c>
      <c r="B24" s="30" t="s">
        <v>161</v>
      </c>
      <c r="C24" s="28" t="s">
        <v>245</v>
      </c>
      <c r="D24" s="14">
        <v>2004</v>
      </c>
      <c r="E24" s="31" t="s">
        <v>162</v>
      </c>
      <c r="F24" s="31" t="s">
        <v>163</v>
      </c>
      <c r="G24" s="12">
        <v>20</v>
      </c>
      <c r="H24" s="12">
        <v>5</v>
      </c>
      <c r="I24" s="16">
        <v>250</v>
      </c>
      <c r="J24" s="24">
        <v>25000</v>
      </c>
    </row>
    <row r="25" spans="1:10" ht="25.95" customHeight="1" x14ac:dyDescent="0.3">
      <c r="A25" s="7">
        <v>21</v>
      </c>
      <c r="B25" s="27" t="s">
        <v>186</v>
      </c>
      <c r="C25" s="32" t="s">
        <v>249</v>
      </c>
      <c r="D25" s="7">
        <v>2016</v>
      </c>
      <c r="E25" s="29" t="s">
        <v>162</v>
      </c>
      <c r="F25" s="29" t="s">
        <v>187</v>
      </c>
      <c r="G25" s="33" t="s">
        <v>247</v>
      </c>
      <c r="H25" s="5">
        <v>6</v>
      </c>
      <c r="I25" s="9">
        <v>300</v>
      </c>
      <c r="J25" s="22">
        <v>22000</v>
      </c>
    </row>
    <row r="26" spans="1:10" ht="25.95" customHeight="1" x14ac:dyDescent="0.3">
      <c r="A26" s="14">
        <v>22</v>
      </c>
      <c r="B26" s="30" t="s">
        <v>196</v>
      </c>
      <c r="C26" s="32" t="s">
        <v>249</v>
      </c>
      <c r="D26" s="14">
        <v>2014</v>
      </c>
      <c r="E26" s="31" t="s">
        <v>57</v>
      </c>
      <c r="F26" s="31" t="s">
        <v>187</v>
      </c>
      <c r="G26" s="34" t="s">
        <v>247</v>
      </c>
      <c r="H26" s="12">
        <v>9</v>
      </c>
      <c r="I26" s="16">
        <v>200</v>
      </c>
      <c r="J26" s="24">
        <v>12500</v>
      </c>
    </row>
    <row r="27" spans="1:10" ht="25.95" customHeight="1" x14ac:dyDescent="0.3">
      <c r="A27" s="7">
        <v>23</v>
      </c>
      <c r="B27" s="27" t="s">
        <v>206</v>
      </c>
      <c r="C27" s="32" t="s">
        <v>249</v>
      </c>
      <c r="D27" s="7">
        <v>2016</v>
      </c>
      <c r="E27" s="29" t="s">
        <v>57</v>
      </c>
      <c r="F27" s="29" t="s">
        <v>207</v>
      </c>
      <c r="G27" s="33" t="s">
        <v>247</v>
      </c>
      <c r="H27" s="5">
        <v>13</v>
      </c>
      <c r="I27" s="9">
        <v>250</v>
      </c>
      <c r="J27" s="22">
        <v>7500</v>
      </c>
    </row>
    <row r="28" spans="1:10" ht="25.95" customHeight="1" x14ac:dyDescent="0.3">
      <c r="A28" s="14">
        <v>24</v>
      </c>
      <c r="B28" s="30" t="s">
        <v>213</v>
      </c>
      <c r="C28" s="32" t="s">
        <v>249</v>
      </c>
      <c r="D28" s="14">
        <v>2008</v>
      </c>
      <c r="E28" s="31" t="s">
        <v>50</v>
      </c>
      <c r="F28" s="31" t="s">
        <v>214</v>
      </c>
      <c r="G28" s="34" t="s">
        <v>247</v>
      </c>
      <c r="H28" s="12">
        <v>15</v>
      </c>
      <c r="I28" s="16">
        <v>200</v>
      </c>
      <c r="J28" s="24">
        <v>6200</v>
      </c>
    </row>
    <row r="29" spans="1:10" ht="25.95" customHeight="1" x14ac:dyDescent="0.3">
      <c r="A29" s="7">
        <v>25</v>
      </c>
      <c r="B29" s="27" t="s">
        <v>220</v>
      </c>
      <c r="C29" s="32" t="s">
        <v>249</v>
      </c>
      <c r="D29" s="7">
        <v>2014</v>
      </c>
      <c r="E29" s="29" t="s">
        <v>162</v>
      </c>
      <c r="F29" s="29" t="s">
        <v>221</v>
      </c>
      <c r="G29" s="33" t="s">
        <v>247</v>
      </c>
      <c r="H29" s="5">
        <v>17</v>
      </c>
      <c r="I29" s="9">
        <v>220</v>
      </c>
      <c r="J29" s="22">
        <v>5000</v>
      </c>
    </row>
    <row r="30" spans="1:10" ht="25.95" customHeight="1" x14ac:dyDescent="0.3">
      <c r="A30" s="14">
        <v>26</v>
      </c>
      <c r="B30" s="30" t="s">
        <v>227</v>
      </c>
      <c r="C30" s="32" t="s">
        <v>249</v>
      </c>
      <c r="D30" s="14">
        <v>1991</v>
      </c>
      <c r="E30" s="31" t="s">
        <v>57</v>
      </c>
      <c r="F30" s="31" t="s">
        <v>228</v>
      </c>
      <c r="G30" s="34" t="s">
        <v>247</v>
      </c>
      <c r="H30" s="12">
        <v>19</v>
      </c>
      <c r="I30" s="16">
        <v>180</v>
      </c>
      <c r="J30" s="24">
        <v>4200</v>
      </c>
    </row>
    <row r="31" spans="1:10" ht="25.95" customHeight="1" x14ac:dyDescent="0.3">
      <c r="A31" s="7">
        <v>27</v>
      </c>
      <c r="B31" s="27" t="s">
        <v>232</v>
      </c>
      <c r="C31" s="32" t="s">
        <v>249</v>
      </c>
      <c r="D31" s="7">
        <v>2014</v>
      </c>
      <c r="E31" s="29" t="s">
        <v>233</v>
      </c>
      <c r="F31" s="29" t="s">
        <v>234</v>
      </c>
      <c r="G31" s="33" t="s">
        <v>247</v>
      </c>
      <c r="H31" s="5">
        <v>20</v>
      </c>
      <c r="I31" s="9">
        <v>220</v>
      </c>
      <c r="J31" s="22">
        <v>3500</v>
      </c>
    </row>
  </sheetData>
  <autoFilter ref="A4:J31" xr:uid="{00000000-0009-0000-0000-000003000000}"/>
  <mergeCells count="2">
    <mergeCell ref="A1:J1"/>
    <mergeCell ref="A2:J2"/>
  </mergeCells>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1_Executive_Brief_&amp;_Method</vt:lpstr>
      <vt:lpstr>2_M1_Scale_&amp;_Throughput</vt:lpstr>
      <vt:lpstr>3_M2_Valuation_&amp;_Impact</vt:lpstr>
      <vt:lpstr>4_Master_Comparison_27_Hubs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MOHD FAUZAN</cp:lastModifiedBy>
  <dcterms:created xsi:type="dcterms:W3CDTF">2026-10-18T19:34:59Z</dcterms:created>
  <dcterms:modified xsi:type="dcterms:W3CDTF">2026-10-18T19:40:41Z</dcterms:modified>
</cp:coreProperties>
</file>